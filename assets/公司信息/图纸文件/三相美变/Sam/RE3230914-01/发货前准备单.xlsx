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Sheet1" sheetId="1" r:id="rId1"/>
    <sheet name="装箱单" sheetId="4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<sst xmlns="http://schemas.openxmlformats.org/spreadsheetml/2006/main" count="76" uniqueCount="33">
  <si>
    <r>
      <rPr>
        <sz val="22"/>
        <color theme="1"/>
        <rFont val="宋体"/>
        <charset val="134"/>
      </rPr>
      <t>发货前准备单</t>
    </r>
  </si>
  <si>
    <r>
      <rPr>
        <sz val="11"/>
        <color theme="1"/>
        <rFont val="宋体"/>
        <charset val="134"/>
      </rPr>
      <t>序号</t>
    </r>
  </si>
  <si>
    <r>
      <rPr>
        <sz val="11"/>
        <color theme="1"/>
        <rFont val="宋体"/>
        <charset val="134"/>
      </rPr>
      <t>合同号</t>
    </r>
  </si>
  <si>
    <r>
      <rPr>
        <sz val="11"/>
        <color theme="1"/>
        <rFont val="宋体"/>
        <charset val="134"/>
      </rPr>
      <t>图号</t>
    </r>
  </si>
  <si>
    <r>
      <rPr>
        <sz val="11"/>
        <color theme="1"/>
        <rFont val="宋体"/>
        <charset val="134"/>
      </rPr>
      <t>型号</t>
    </r>
  </si>
  <si>
    <r>
      <rPr>
        <sz val="11"/>
        <color theme="1"/>
        <rFont val="宋体"/>
        <charset val="134"/>
      </rPr>
      <t>数量（台）</t>
    </r>
  </si>
  <si>
    <r>
      <rPr>
        <sz val="11"/>
        <color theme="1"/>
        <rFont val="宋体"/>
        <charset val="134"/>
      </rPr>
      <t>尺寸（</t>
    </r>
    <r>
      <rPr>
        <sz val="11"/>
        <color theme="1"/>
        <rFont val="Arial"/>
        <charset val="134"/>
      </rPr>
      <t>MM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</si>
  <si>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体积</t>
    </r>
    <r>
      <rPr>
        <sz val="11"/>
        <color theme="1"/>
        <rFont val="Arial"/>
        <charset val="134"/>
      </rPr>
      <t>(M</t>
    </r>
    <r>
      <rPr>
        <vertAlign val="superscript"/>
        <sz val="11"/>
        <color theme="1"/>
        <rFont val="Arial"/>
        <charset val="134"/>
      </rPr>
      <t>3</t>
    </r>
    <r>
      <rPr>
        <sz val="11"/>
        <color theme="1"/>
        <rFont val="Arial"/>
        <charset val="134"/>
      </rPr>
      <t>)</t>
    </r>
  </si>
  <si>
    <r>
      <rPr>
        <sz val="11"/>
        <color theme="1"/>
        <rFont val="宋体"/>
        <charset val="134"/>
      </rPr>
      <t>总体积</t>
    </r>
  </si>
  <si>
    <r>
      <rPr>
        <sz val="11"/>
        <color theme="1"/>
        <rFont val="宋体"/>
        <charset val="134"/>
      </rPr>
      <t>重量（</t>
    </r>
    <r>
      <rPr>
        <sz val="11"/>
        <color theme="1"/>
        <rFont val="Arial"/>
        <charset val="134"/>
      </rPr>
      <t>KG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</si>
  <si>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净重总重量</t>
    </r>
    <r>
      <rPr>
        <sz val="11"/>
        <color theme="1"/>
        <rFont val="Arial"/>
        <charset val="134"/>
      </rPr>
      <t>KG</t>
    </r>
  </si>
  <si>
    <r>
      <rPr>
        <sz val="11"/>
        <color theme="1"/>
        <rFont val="宋体"/>
        <charset val="134"/>
      </rPr>
      <t>毛重总重量</t>
    </r>
    <r>
      <rPr>
        <sz val="11"/>
        <color theme="1"/>
        <rFont val="Arial"/>
        <charset val="134"/>
      </rPr>
      <t>KG</t>
    </r>
  </si>
  <si>
    <r>
      <rPr>
        <sz val="11"/>
        <color theme="1"/>
        <rFont val="宋体"/>
        <charset val="134"/>
      </rPr>
      <t>发货时间</t>
    </r>
  </si>
  <si>
    <r>
      <rPr>
        <sz val="11"/>
        <color theme="1"/>
        <rFont val="宋体"/>
        <charset val="134"/>
      </rPr>
      <t>长</t>
    </r>
  </si>
  <si>
    <r>
      <rPr>
        <sz val="11"/>
        <color theme="1"/>
        <rFont val="宋体"/>
        <charset val="134"/>
      </rPr>
      <t>宽</t>
    </r>
  </si>
  <si>
    <r>
      <rPr>
        <sz val="11"/>
        <color theme="1"/>
        <rFont val="宋体"/>
        <charset val="134"/>
      </rPr>
      <t>高</t>
    </r>
  </si>
  <si>
    <r>
      <rPr>
        <sz val="11"/>
        <color theme="1"/>
        <rFont val="宋体"/>
        <charset val="134"/>
      </rPr>
      <t>净重</t>
    </r>
  </si>
  <si>
    <r>
      <rPr>
        <sz val="11"/>
        <color theme="1"/>
        <rFont val="宋体"/>
        <charset val="134"/>
      </rPr>
      <t>毛重</t>
    </r>
  </si>
  <si>
    <t>RE3230802-03</t>
  </si>
  <si>
    <t>ZGSL-H-750/12.47/7.2/0.48/0.277</t>
  </si>
  <si>
    <r>
      <rPr>
        <sz val="11"/>
        <color theme="1"/>
        <rFont val="宋体"/>
        <charset val="134"/>
      </rPr>
      <t>待打包</t>
    </r>
  </si>
  <si>
    <t>ZGSL-H-750/12.47/7.2/0.208/0.12</t>
  </si>
  <si>
    <t>ZGSL-H-1000/12.47/7.2/0.48/0.277</t>
  </si>
  <si>
    <r>
      <rPr>
        <sz val="11"/>
        <color theme="1"/>
        <rFont val="宋体"/>
        <charset val="134"/>
      </rPr>
      <t>已打包好</t>
    </r>
  </si>
  <si>
    <t>ZGSL-H-1500/12.47/7.2/0.48/0.277</t>
  </si>
  <si>
    <t>RE3230914-01</t>
  </si>
  <si>
    <t>ZGSL-H-500/12.47/7.2/0.48/0.277</t>
  </si>
  <si>
    <r>
      <rPr>
        <sz val="11"/>
        <color theme="1"/>
        <rFont val="宋体"/>
        <charset val="134"/>
      </rPr>
      <t>油箱</t>
    </r>
    <r>
      <rPr>
        <sz val="11"/>
        <color theme="1"/>
        <rFont val="Arial"/>
        <charset val="134"/>
      </rPr>
      <t>13</t>
    </r>
    <r>
      <rPr>
        <sz val="11"/>
        <color theme="1"/>
        <rFont val="宋体"/>
        <charset val="134"/>
      </rPr>
      <t>号到厂，</t>
    </r>
    <r>
      <rPr>
        <sz val="11"/>
        <color theme="1"/>
        <rFont val="Arial"/>
        <charset val="134"/>
      </rPr>
      <t>18</t>
    </r>
    <r>
      <rPr>
        <sz val="11"/>
        <color theme="1"/>
        <rFont val="宋体"/>
        <charset val="134"/>
      </rPr>
      <t>号可以发货。</t>
    </r>
  </si>
  <si>
    <r>
      <rPr>
        <sz val="10"/>
        <rFont val="宋体"/>
        <charset val="134"/>
      </rPr>
      <t>合计</t>
    </r>
  </si>
  <si>
    <r>
      <rPr>
        <sz val="11"/>
        <color theme="1"/>
        <rFont val="宋体"/>
        <charset val="134"/>
      </rPr>
      <t>联系人：</t>
    </r>
  </si>
  <si>
    <r>
      <rPr>
        <sz val="11"/>
        <color theme="1"/>
        <rFont val="宋体"/>
        <charset val="134"/>
      </rPr>
      <t>庞磊</t>
    </r>
    <r>
      <rPr>
        <sz val="11"/>
        <color theme="1"/>
        <rFont val="Arial"/>
        <charset val="134"/>
      </rPr>
      <t xml:space="preserve"> 15371701601</t>
    </r>
  </si>
  <si>
    <r>
      <rPr>
        <sz val="11"/>
        <color theme="1"/>
        <rFont val="Arial"/>
        <charset val="134"/>
      </rPr>
      <t xml:space="preserve">  </t>
    </r>
    <r>
      <rPr>
        <sz val="11"/>
        <color theme="1"/>
        <rFont val="宋体"/>
        <charset val="134"/>
      </rPr>
      <t>地址：黄海大道西</t>
    </r>
    <r>
      <rPr>
        <sz val="11"/>
        <color theme="1"/>
        <rFont val="Arial"/>
        <charset val="134"/>
      </rPr>
      <t>229</t>
    </r>
    <r>
      <rPr>
        <sz val="11"/>
        <color theme="1"/>
        <rFont val="宋体"/>
        <charset val="134"/>
      </rPr>
      <t>号</t>
    </r>
    <r>
      <rPr>
        <sz val="11"/>
        <color theme="1"/>
        <rFont val="Arial"/>
        <charset val="134"/>
      </rPr>
      <t xml:space="preserve"> </t>
    </r>
  </si>
  <si>
    <r>
      <rPr>
        <sz val="11"/>
        <color theme="1"/>
        <rFont val="宋体"/>
        <charset val="134"/>
      </rPr>
      <t>填表人：</t>
    </r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</si>
</sst>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8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22"/>
      <color theme="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2"/>
      <color theme="1"/>
      <name val="宋体"/>
      <charset val="134"/>
    </font>
    <font>
      <sz val="11"/>
      <color theme="1"/>
      <name val="宋体"/>
      <charset val="134"/>
    </font>
    <font>
      <vertAlign val="superscript"/>
      <sz val="11"/>
      <color theme="1"/>
      <name val="Arial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7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177" fontId="1" fillId="0" borderId="7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58" fontId="1" fillId="0" borderId="1" xfId="0" applyNumberFormat="1" applyFont="1" applyFill="1" applyBorder="1" applyAlignment="1">
      <alignment horizontal="center" vertical="center"/>
    </xf>
    <xf numFmtId="58" fontId="1" fillId="0" borderId="3" xfId="0" applyNumberFormat="1" applyFont="1" applyFill="1" applyBorder="1" applyAlignment="1">
      <alignment horizontal="center" vertical="center"/>
    </xf>
    <xf numFmtId="58" fontId="1" fillId="0" borderId="5" xfId="0" applyNumberFormat="1" applyFont="1" applyFill="1" applyBorder="1" applyAlignment="1">
      <alignment horizontal="center" vertical="center"/>
    </xf>
    <xf numFmtId="58" fontId="1" fillId="0" borderId="7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7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77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/>
    </xf>
    <xf numFmtId="58" fontId="1" fillId="0" borderId="3" xfId="0" applyNumberFormat="1" applyFont="1" applyBorder="1" applyAlignment="1">
      <alignment horizontal="center" vertical="center"/>
    </xf>
    <xf numFmtId="58" fontId="1" fillId="0" borderId="5" xfId="0" applyNumberFormat="1" applyFont="1" applyBorder="1" applyAlignment="1">
      <alignment horizontal="center" vertical="center"/>
    </xf>
    <xf numFmtId="58" fontId="1" fillId="0" borderId="7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workbookViewId="0">
      <selection activeCell="G19" sqref="G19"/>
    </sheetView>
  </sheetViews>
  <sheetFormatPr defaultColWidth="9" defaultRowHeight="14.25"/>
  <cols>
    <col min="1" max="1" width="6.25" style="34" customWidth="1"/>
    <col min="2" max="2" width="13.375" style="34" customWidth="1"/>
    <col min="3" max="3" width="11.625" style="34" customWidth="1"/>
    <col min="4" max="4" width="29.25" style="34" customWidth="1"/>
    <col min="5" max="8" width="9" style="34"/>
    <col min="9" max="9" width="11" style="34" customWidth="1"/>
    <col min="10" max="10" width="9.375" style="34"/>
    <col min="11" max="12" width="9" style="34"/>
    <col min="13" max="13" width="10.5" style="34" customWidth="1"/>
    <col min="14" max="14" width="10.375" style="34" customWidth="1"/>
    <col min="15" max="15" width="10.75" style="34" customWidth="1"/>
    <col min="16" max="16" width="30" style="34" customWidth="1"/>
    <col min="17" max="16384" width="9" style="34"/>
  </cols>
  <sheetData>
    <row r="1" ht="44.1" customHeight="1" spans="1:1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ht="13.5" spans="1:15">
      <c r="A2" s="36" t="s">
        <v>1</v>
      </c>
      <c r="B2" s="36" t="s">
        <v>2</v>
      </c>
      <c r="C2" s="36" t="s">
        <v>3</v>
      </c>
      <c r="D2" s="36" t="s">
        <v>4</v>
      </c>
      <c r="E2" s="37" t="s">
        <v>5</v>
      </c>
      <c r="F2" s="38" t="s">
        <v>6</v>
      </c>
      <c r="G2" s="38"/>
      <c r="H2" s="38"/>
      <c r="I2" s="45" t="s">
        <v>7</v>
      </c>
      <c r="J2" s="45" t="s">
        <v>8</v>
      </c>
      <c r="K2" s="38" t="s">
        <v>9</v>
      </c>
      <c r="L2" s="55"/>
      <c r="M2" s="56" t="s">
        <v>10</v>
      </c>
      <c r="N2" s="56" t="s">
        <v>11</v>
      </c>
      <c r="O2" s="36" t="s">
        <v>12</v>
      </c>
    </row>
    <row r="3" ht="13.5" spans="1:15">
      <c r="A3" s="39"/>
      <c r="B3" s="39"/>
      <c r="C3" s="39"/>
      <c r="D3" s="39"/>
      <c r="E3" s="40"/>
      <c r="F3" s="41"/>
      <c r="G3" s="41"/>
      <c r="H3" s="41"/>
      <c r="I3" s="45"/>
      <c r="J3" s="45"/>
      <c r="K3" s="41"/>
      <c r="L3" s="57"/>
      <c r="M3" s="58"/>
      <c r="N3" s="58"/>
      <c r="O3" s="39"/>
    </row>
    <row r="4" ht="22.5" customHeight="1" spans="1:15">
      <c r="A4" s="42"/>
      <c r="B4" s="42"/>
      <c r="C4" s="42"/>
      <c r="D4" s="42"/>
      <c r="E4" s="43"/>
      <c r="F4" s="44" t="s">
        <v>13</v>
      </c>
      <c r="G4" s="45" t="s">
        <v>14</v>
      </c>
      <c r="H4" s="46" t="s">
        <v>15</v>
      </c>
      <c r="I4" s="45"/>
      <c r="J4" s="45"/>
      <c r="K4" s="44" t="s">
        <v>16</v>
      </c>
      <c r="L4" s="45" t="s">
        <v>17</v>
      </c>
      <c r="M4" s="59"/>
      <c r="N4" s="59"/>
      <c r="O4" s="42"/>
    </row>
    <row r="5" ht="32.1" customHeight="1" spans="1:16">
      <c r="A5" s="45">
        <v>1</v>
      </c>
      <c r="B5" s="47" t="s">
        <v>18</v>
      </c>
      <c r="C5" s="48">
        <v>3479</v>
      </c>
      <c r="D5" s="49" t="s">
        <v>19</v>
      </c>
      <c r="E5" s="50">
        <v>3</v>
      </c>
      <c r="F5" s="45">
        <v>1950</v>
      </c>
      <c r="G5" s="45">
        <v>1750</v>
      </c>
      <c r="H5" s="45">
        <v>2000</v>
      </c>
      <c r="I5" s="60">
        <f>1.95*1.75*2</f>
        <v>6.825</v>
      </c>
      <c r="J5" s="60">
        <f>I5*E5</f>
        <v>20.475</v>
      </c>
      <c r="K5" s="45">
        <v>2950</v>
      </c>
      <c r="L5" s="45">
        <f>K5+210</f>
        <v>3160</v>
      </c>
      <c r="M5" s="61">
        <f>K5*E5</f>
        <v>8850</v>
      </c>
      <c r="N5" s="61">
        <f>L5*E5</f>
        <v>9480</v>
      </c>
      <c r="O5" s="62">
        <v>45214</v>
      </c>
      <c r="P5" s="34" t="s">
        <v>20</v>
      </c>
    </row>
    <row r="6" ht="32.1" customHeight="1" spans="1:16">
      <c r="A6" s="45">
        <v>2</v>
      </c>
      <c r="B6" s="47" t="s">
        <v>18</v>
      </c>
      <c r="C6" s="48">
        <v>3480</v>
      </c>
      <c r="D6" s="49" t="s">
        <v>21</v>
      </c>
      <c r="E6" s="50">
        <v>1</v>
      </c>
      <c r="F6" s="45">
        <v>1950</v>
      </c>
      <c r="G6" s="45">
        <v>1750</v>
      </c>
      <c r="H6" s="45">
        <v>2000</v>
      </c>
      <c r="I6" s="60">
        <f>1.95*1.75*2</f>
        <v>6.825</v>
      </c>
      <c r="J6" s="60">
        <f>I6*E6</f>
        <v>6.825</v>
      </c>
      <c r="K6" s="45">
        <v>2980</v>
      </c>
      <c r="L6" s="45">
        <f>K6+210</f>
        <v>3190</v>
      </c>
      <c r="M6" s="61">
        <f t="shared" ref="M6:M11" si="0">K6*E6</f>
        <v>2980</v>
      </c>
      <c r="N6" s="61">
        <f t="shared" ref="N6:N11" si="1">L6*E6</f>
        <v>3190</v>
      </c>
      <c r="O6" s="63"/>
      <c r="P6" s="34" t="s">
        <v>20</v>
      </c>
    </row>
    <row r="7" ht="32.1" customHeight="1" spans="1:16">
      <c r="A7" s="45">
        <v>3</v>
      </c>
      <c r="B7" s="47" t="s">
        <v>18</v>
      </c>
      <c r="C7" s="48">
        <v>3471</v>
      </c>
      <c r="D7" s="49" t="s">
        <v>22</v>
      </c>
      <c r="E7" s="50">
        <v>1</v>
      </c>
      <c r="F7" s="45">
        <v>2100</v>
      </c>
      <c r="G7" s="45">
        <v>1800</v>
      </c>
      <c r="H7" s="45">
        <v>2300</v>
      </c>
      <c r="I7" s="60">
        <f>2.1*1.8*2.3</f>
        <v>8.694</v>
      </c>
      <c r="J7" s="60">
        <f>I7*E7</f>
        <v>8.694</v>
      </c>
      <c r="K7" s="45">
        <v>3400</v>
      </c>
      <c r="L7" s="45">
        <v>3620</v>
      </c>
      <c r="M7" s="61">
        <f t="shared" si="0"/>
        <v>3400</v>
      </c>
      <c r="N7" s="61">
        <f t="shared" si="1"/>
        <v>3620</v>
      </c>
      <c r="O7" s="63"/>
      <c r="P7" s="34" t="s">
        <v>23</v>
      </c>
    </row>
    <row r="8" ht="32.1" customHeight="1" spans="1:16">
      <c r="A8" s="45">
        <v>4</v>
      </c>
      <c r="B8" s="47" t="s">
        <v>18</v>
      </c>
      <c r="C8" s="48">
        <v>3473</v>
      </c>
      <c r="D8" s="49" t="s">
        <v>24</v>
      </c>
      <c r="E8" s="50">
        <v>2</v>
      </c>
      <c r="F8" s="45">
        <v>2100</v>
      </c>
      <c r="G8" s="45">
        <v>2200</v>
      </c>
      <c r="H8" s="45">
        <v>2200</v>
      </c>
      <c r="I8" s="60">
        <f>2.1*2.2*2.2</f>
        <v>10.164</v>
      </c>
      <c r="J8" s="60">
        <f>I8*E8</f>
        <v>20.328</v>
      </c>
      <c r="K8" s="45">
        <v>4060</v>
      </c>
      <c r="L8" s="45">
        <f>K8+250</f>
        <v>4310</v>
      </c>
      <c r="M8" s="61">
        <f t="shared" si="0"/>
        <v>8120</v>
      </c>
      <c r="N8" s="61">
        <f t="shared" si="1"/>
        <v>8620</v>
      </c>
      <c r="O8" s="64"/>
      <c r="P8" s="34" t="s">
        <v>20</v>
      </c>
    </row>
    <row r="9" ht="32.1" hidden="1" customHeight="1" spans="1:16">
      <c r="A9" s="45">
        <v>5</v>
      </c>
      <c r="B9" s="51" t="s">
        <v>25</v>
      </c>
      <c r="C9" s="52">
        <v>3526</v>
      </c>
      <c r="D9" s="49" t="s">
        <v>26</v>
      </c>
      <c r="E9" s="50">
        <v>1</v>
      </c>
      <c r="F9" s="45"/>
      <c r="G9" s="45"/>
      <c r="H9" s="45"/>
      <c r="I9" s="45"/>
      <c r="J9" s="45"/>
      <c r="K9" s="45">
        <v>4810</v>
      </c>
      <c r="L9" s="45"/>
      <c r="M9" s="61">
        <f t="shared" si="0"/>
        <v>4810</v>
      </c>
      <c r="N9" s="61">
        <f t="shared" si="1"/>
        <v>0</v>
      </c>
      <c r="O9" s="62">
        <v>45217</v>
      </c>
      <c r="P9" s="34" t="s">
        <v>27</v>
      </c>
    </row>
    <row r="10" ht="32.1" hidden="1" customHeight="1" spans="1:16">
      <c r="A10" s="45">
        <v>6</v>
      </c>
      <c r="B10" s="51" t="s">
        <v>25</v>
      </c>
      <c r="C10" s="52">
        <v>3527</v>
      </c>
      <c r="D10" s="49" t="s">
        <v>26</v>
      </c>
      <c r="E10" s="50">
        <v>1</v>
      </c>
      <c r="F10" s="45"/>
      <c r="G10" s="45"/>
      <c r="H10" s="45"/>
      <c r="I10" s="45"/>
      <c r="J10" s="45"/>
      <c r="K10" s="45">
        <v>4850</v>
      </c>
      <c r="L10" s="45"/>
      <c r="M10" s="61">
        <f t="shared" si="0"/>
        <v>4850</v>
      </c>
      <c r="N10" s="61">
        <f t="shared" si="1"/>
        <v>0</v>
      </c>
      <c r="O10" s="63"/>
      <c r="P10" s="34" t="s">
        <v>27</v>
      </c>
    </row>
    <row r="11" ht="32.1" hidden="1" customHeight="1" spans="1:16">
      <c r="A11" s="45">
        <v>7</v>
      </c>
      <c r="B11" s="51" t="s">
        <v>25</v>
      </c>
      <c r="C11" s="52">
        <v>3528</v>
      </c>
      <c r="D11" s="49" t="s">
        <v>19</v>
      </c>
      <c r="E11" s="50">
        <v>2</v>
      </c>
      <c r="F11" s="45"/>
      <c r="G11" s="45"/>
      <c r="H11" s="45"/>
      <c r="I11" s="45"/>
      <c r="J11" s="45"/>
      <c r="K11" s="45">
        <v>6480</v>
      </c>
      <c r="L11" s="45"/>
      <c r="M11" s="61">
        <f t="shared" si="0"/>
        <v>12960</v>
      </c>
      <c r="N11" s="61">
        <f t="shared" si="1"/>
        <v>0</v>
      </c>
      <c r="O11" s="64"/>
      <c r="P11" s="34" t="s">
        <v>27</v>
      </c>
    </row>
    <row r="12" ht="32.1" hidden="1" customHeight="1" spans="1:15">
      <c r="A12" s="45"/>
      <c r="B12" s="51" t="s">
        <v>28</v>
      </c>
      <c r="C12" s="52"/>
      <c r="D12" s="49"/>
      <c r="E12" s="50">
        <f>SUM(E5:E11)</f>
        <v>11</v>
      </c>
      <c r="F12" s="45"/>
      <c r="G12" s="45"/>
      <c r="H12" s="45"/>
      <c r="I12" s="45"/>
      <c r="J12" s="45"/>
      <c r="K12" s="45"/>
      <c r="L12" s="45"/>
      <c r="M12" s="61"/>
      <c r="N12" s="61"/>
      <c r="O12" s="65"/>
    </row>
    <row r="13" ht="32.1" customHeight="1" spans="1:15">
      <c r="A13" s="45"/>
      <c r="B13" s="45"/>
      <c r="C13" s="45"/>
      <c r="D13" s="45" t="s">
        <v>29</v>
      </c>
      <c r="E13" s="53" t="s">
        <v>30</v>
      </c>
      <c r="F13" s="54"/>
      <c r="G13" s="54"/>
      <c r="H13" s="54"/>
      <c r="I13" s="66"/>
      <c r="J13" s="53" t="s">
        <v>31</v>
      </c>
      <c r="K13" s="54"/>
      <c r="L13" s="54"/>
      <c r="M13" s="54"/>
      <c r="N13" s="66"/>
      <c r="O13" s="65"/>
    </row>
    <row r="14" ht="23.25" customHeight="1" spans="11:11">
      <c r="K14" s="34" t="s">
        <v>32</v>
      </c>
    </row>
    <row r="15" ht="21" customHeight="1"/>
  </sheetData>
  <mergeCells count="17">
    <mergeCell ref="A1:O1"/>
    <mergeCell ref="E13:I13"/>
    <mergeCell ref="J13:N13"/>
    <mergeCell ref="A2:A4"/>
    <mergeCell ref="B2:B4"/>
    <mergeCell ref="C2:C4"/>
    <mergeCell ref="D2:D4"/>
    <mergeCell ref="E2:E4"/>
    <mergeCell ref="I2:I4"/>
    <mergeCell ref="J2:J4"/>
    <mergeCell ref="M2:M4"/>
    <mergeCell ref="N2:N4"/>
    <mergeCell ref="O2:O4"/>
    <mergeCell ref="O5:O8"/>
    <mergeCell ref="O9:O11"/>
    <mergeCell ref="K2:L3"/>
    <mergeCell ref="F2:H3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tabSelected="1" workbookViewId="0">
      <selection activeCell="N14" sqref="N14"/>
    </sheetView>
  </sheetViews>
  <sheetFormatPr defaultColWidth="9" defaultRowHeight="14.25"/>
  <cols>
    <col min="1" max="1" width="6.25" style="1" customWidth="1"/>
    <col min="2" max="2" width="13.375" style="1" customWidth="1"/>
    <col min="3" max="3" width="11.625" style="1" customWidth="1"/>
    <col min="4" max="4" width="29.25" style="1" customWidth="1"/>
    <col min="5" max="8" width="9" style="1"/>
    <col min="9" max="9" width="11" style="1" customWidth="1"/>
    <col min="10" max="10" width="9.375" style="1"/>
    <col min="11" max="12" width="9" style="1"/>
    <col min="13" max="13" width="10.5" style="1" customWidth="1"/>
    <col min="14" max="14" width="10.375" style="1" customWidth="1"/>
    <col min="15" max="15" width="10.75" style="1" customWidth="1"/>
    <col min="16" max="16" width="30" style="1" customWidth="1"/>
    <col min="17" max="16384" width="9" style="1"/>
  </cols>
  <sheetData>
    <row r="1" ht="44.1" customHeight="1" spans="1:1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3.5" spans="1:15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 t="s">
        <v>6</v>
      </c>
      <c r="G2" s="5"/>
      <c r="H2" s="5"/>
      <c r="I2" s="12" t="s">
        <v>7</v>
      </c>
      <c r="J2" s="12" t="s">
        <v>8</v>
      </c>
      <c r="K2" s="5" t="s">
        <v>9</v>
      </c>
      <c r="L2" s="22"/>
      <c r="M2" s="23" t="s">
        <v>10</v>
      </c>
      <c r="N2" s="23" t="s">
        <v>11</v>
      </c>
      <c r="O2" s="3" t="s">
        <v>12</v>
      </c>
    </row>
    <row r="3" ht="13.5" spans="1:15">
      <c r="A3" s="6"/>
      <c r="B3" s="6"/>
      <c r="C3" s="6"/>
      <c r="D3" s="6"/>
      <c r="E3" s="7"/>
      <c r="F3" s="8"/>
      <c r="G3" s="8"/>
      <c r="H3" s="8"/>
      <c r="I3" s="12"/>
      <c r="J3" s="12"/>
      <c r="K3" s="8"/>
      <c r="L3" s="24"/>
      <c r="M3" s="25"/>
      <c r="N3" s="25"/>
      <c r="O3" s="6"/>
    </row>
    <row r="4" ht="22.5" customHeight="1" spans="1:15">
      <c r="A4" s="9"/>
      <c r="B4" s="9"/>
      <c r="C4" s="9"/>
      <c r="D4" s="9"/>
      <c r="E4" s="10"/>
      <c r="F4" s="11" t="s">
        <v>13</v>
      </c>
      <c r="G4" s="12" t="s">
        <v>14</v>
      </c>
      <c r="H4" s="13" t="s">
        <v>15</v>
      </c>
      <c r="I4" s="12"/>
      <c r="J4" s="12"/>
      <c r="K4" s="11" t="s">
        <v>16</v>
      </c>
      <c r="L4" s="12" t="s">
        <v>17</v>
      </c>
      <c r="M4" s="26"/>
      <c r="N4" s="26"/>
      <c r="O4" s="9"/>
    </row>
    <row r="5" ht="32.1" customHeight="1" spans="1:16">
      <c r="A5" s="12">
        <v>1</v>
      </c>
      <c r="B5" s="14" t="s">
        <v>18</v>
      </c>
      <c r="C5" s="15">
        <v>3479</v>
      </c>
      <c r="D5" s="16" t="s">
        <v>19</v>
      </c>
      <c r="E5" s="17">
        <v>2</v>
      </c>
      <c r="F5" s="12">
        <v>1950</v>
      </c>
      <c r="G5" s="12">
        <v>1750</v>
      </c>
      <c r="H5" s="12">
        <v>2000</v>
      </c>
      <c r="I5" s="27">
        <f>1.95*1.75*2</f>
        <v>6.825</v>
      </c>
      <c r="J5" s="27">
        <f t="shared" ref="J5:J8" si="0">I5*E5</f>
        <v>13.65</v>
      </c>
      <c r="K5" s="12">
        <v>2950</v>
      </c>
      <c r="L5" s="12">
        <f>K5+210</f>
        <v>3160</v>
      </c>
      <c r="M5" s="28">
        <f>K5*E5</f>
        <v>5900</v>
      </c>
      <c r="N5" s="28">
        <f>L5*E5</f>
        <v>6320</v>
      </c>
      <c r="O5" s="29">
        <v>45214</v>
      </c>
      <c r="P5" s="1" t="s">
        <v>20</v>
      </c>
    </row>
    <row r="6" ht="32.1" customHeight="1" spans="1:16">
      <c r="A6" s="12">
        <v>2</v>
      </c>
      <c r="B6" s="14" t="s">
        <v>18</v>
      </c>
      <c r="C6" s="15">
        <v>3480</v>
      </c>
      <c r="D6" s="16" t="s">
        <v>21</v>
      </c>
      <c r="E6" s="17">
        <v>1</v>
      </c>
      <c r="F6" s="12">
        <v>1950</v>
      </c>
      <c r="G6" s="12">
        <v>1750</v>
      </c>
      <c r="H6" s="12">
        <v>2000</v>
      </c>
      <c r="I6" s="27">
        <f>1.95*1.75*2</f>
        <v>6.825</v>
      </c>
      <c r="J6" s="27">
        <f t="shared" si="0"/>
        <v>6.825</v>
      </c>
      <c r="K6" s="12">
        <v>2980</v>
      </c>
      <c r="L6" s="12">
        <f>K6+210</f>
        <v>3190</v>
      </c>
      <c r="M6" s="28">
        <f>K6*E6</f>
        <v>2980</v>
      </c>
      <c r="N6" s="28">
        <f>L6*E6</f>
        <v>3190</v>
      </c>
      <c r="O6" s="30"/>
      <c r="P6" s="1" t="s">
        <v>20</v>
      </c>
    </row>
    <row r="7" ht="32.1" customHeight="1" spans="1:16">
      <c r="A7" s="12">
        <v>3</v>
      </c>
      <c r="B7" s="14" t="s">
        <v>18</v>
      </c>
      <c r="C7" s="15">
        <v>3471</v>
      </c>
      <c r="D7" s="16" t="s">
        <v>22</v>
      </c>
      <c r="E7" s="17">
        <v>1</v>
      </c>
      <c r="F7" s="12">
        <v>2100</v>
      </c>
      <c r="G7" s="12">
        <v>1800</v>
      </c>
      <c r="H7" s="12">
        <v>2300</v>
      </c>
      <c r="I7" s="27">
        <f>2.1*1.8*2.3</f>
        <v>8.694</v>
      </c>
      <c r="J7" s="27">
        <f t="shared" si="0"/>
        <v>8.694</v>
      </c>
      <c r="K7" s="12">
        <v>3400</v>
      </c>
      <c r="L7" s="12">
        <v>3620</v>
      </c>
      <c r="M7" s="28">
        <f>K7*E7</f>
        <v>3400</v>
      </c>
      <c r="N7" s="28">
        <f>L7*E7</f>
        <v>3620</v>
      </c>
      <c r="O7" s="30"/>
      <c r="P7" s="1" t="s">
        <v>23</v>
      </c>
    </row>
    <row r="8" ht="32.1" customHeight="1" spans="1:16">
      <c r="A8" s="12">
        <v>4</v>
      </c>
      <c r="B8" s="14" t="s">
        <v>18</v>
      </c>
      <c r="C8" s="15">
        <v>3473</v>
      </c>
      <c r="D8" s="16" t="s">
        <v>24</v>
      </c>
      <c r="E8" s="17">
        <v>2</v>
      </c>
      <c r="F8" s="12">
        <v>2100</v>
      </c>
      <c r="G8" s="12">
        <v>2200</v>
      </c>
      <c r="H8" s="12">
        <v>2200</v>
      </c>
      <c r="I8" s="27">
        <f>2.1*2.2*2.2</f>
        <v>10.164</v>
      </c>
      <c r="J8" s="27">
        <f t="shared" si="0"/>
        <v>20.328</v>
      </c>
      <c r="K8" s="12">
        <v>4060</v>
      </c>
      <c r="L8" s="12">
        <f>K8+250</f>
        <v>4310</v>
      </c>
      <c r="M8" s="28">
        <f>K8*E8</f>
        <v>8120</v>
      </c>
      <c r="N8" s="28">
        <f>L8*E8</f>
        <v>8620</v>
      </c>
      <c r="O8" s="31"/>
      <c r="P8" s="1" t="s">
        <v>20</v>
      </c>
    </row>
    <row r="9" ht="32.1" customHeight="1" spans="1:15">
      <c r="A9" s="12"/>
      <c r="B9" s="18" t="s">
        <v>28</v>
      </c>
      <c r="C9" s="19"/>
      <c r="D9" s="16"/>
      <c r="E9" s="17">
        <f>SUM(E5:E8)</f>
        <v>6</v>
      </c>
      <c r="F9" s="12"/>
      <c r="G9" s="12"/>
      <c r="H9" s="12"/>
      <c r="I9" s="12"/>
      <c r="J9" s="12">
        <f>SUM(J5:J8)</f>
        <v>49.497</v>
      </c>
      <c r="K9" s="12"/>
      <c r="L9" s="12"/>
      <c r="M9" s="12">
        <f>SUM(M5:M8)</f>
        <v>20400</v>
      </c>
      <c r="N9" s="12">
        <f>SUM(N5:N8)</f>
        <v>21750</v>
      </c>
      <c r="O9" s="32"/>
    </row>
    <row r="10" ht="32.1" customHeight="1" spans="1:15">
      <c r="A10" s="12"/>
      <c r="B10" s="12"/>
      <c r="C10" s="12"/>
      <c r="D10" s="12"/>
      <c r="E10" s="20"/>
      <c r="F10" s="21"/>
      <c r="G10" s="21"/>
      <c r="H10" s="21"/>
      <c r="I10" s="33"/>
      <c r="J10" s="20"/>
      <c r="K10" s="21"/>
      <c r="L10" s="21"/>
      <c r="M10" s="21"/>
      <c r="N10" s="33"/>
      <c r="O10" s="32"/>
    </row>
    <row r="11" ht="23.25" customHeight="1" spans="11:11">
      <c r="K11" s="1" t="s">
        <v>32</v>
      </c>
    </row>
    <row r="12" ht="21" customHeight="1"/>
  </sheetData>
  <mergeCells count="16">
    <mergeCell ref="A1:O1"/>
    <mergeCell ref="E10:I10"/>
    <mergeCell ref="J10:N10"/>
    <mergeCell ref="A2:A4"/>
    <mergeCell ref="B2:B4"/>
    <mergeCell ref="C2:C4"/>
    <mergeCell ref="D2:D4"/>
    <mergeCell ref="E2:E4"/>
    <mergeCell ref="I2:I4"/>
    <mergeCell ref="J2:J4"/>
    <mergeCell ref="M2:M4"/>
    <mergeCell ref="N2:N4"/>
    <mergeCell ref="O2:O4"/>
    <mergeCell ref="O5:O8"/>
    <mergeCell ref="F2:H3"/>
    <mergeCell ref="K2:L3"/>
  </mergeCell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装箱单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SamShen</cp:lastModifiedBy>
  <dcterms:created xsi:type="dcterms:W3CDTF">2023-07-11T03:06:00Z</dcterms:created>
  <cp:lastPrinted>2023-07-11T03:14:00Z</cp:lastPrinted>
  <dcterms:modified xsi:type="dcterms:W3CDTF">2023-10-09T02:00:44Z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C7D4AEF4782442F4B44FE922AF36A72F_13</vt:lpwstr>
  </property>
  <property fmtid="{D5CDD505-2E9C-101B-9397-08002B2CF9AE}" pid="3" name="KSOProductBuildVer">
    <vt:lpwstr>2052-12.1.0.15374</vt:lpwstr>
  </property>
</Properties>
</file>