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<sst xmlns="http://schemas.openxmlformats.org/spreadsheetml/2006/main" count="168" uniqueCount="89">
  <si>
    <t>Single Phase Pad-Mounted</t>
  </si>
  <si>
    <t>Three Phase Pad-Mounted</t>
  </si>
  <si>
    <t>Single Phase Pole-Mounted</t>
  </si>
  <si>
    <t>Item Number</t>
  </si>
  <si>
    <t>KVA Size</t>
  </si>
  <si>
    <t>37-1/2</t>
  </si>
  <si>
    <t>112-1/2</t>
  </si>
  <si>
    <t>Sec. Voltage</t>
  </si>
  <si>
    <t>240/120</t>
  </si>
  <si>
    <t>208/120</t>
  </si>
  <si>
    <t>480/277</t>
  </si>
  <si>
    <t>240/480</t>
  </si>
  <si>
    <t>Leadtime ARO (wks)</t>
  </si>
  <si>
    <t>Impedance Z%</t>
  </si>
  <si>
    <t>1.5%-2.5%</t>
  </si>
  <si>
    <t>1.7%-3.0%</t>
  </si>
  <si>
    <t>2.7%-3.5%</t>
  </si>
  <si>
    <t>3.1%-4.5%</t>
  </si>
  <si>
    <t>4.5%-5.5%</t>
  </si>
  <si>
    <t>Net Weight (Lbs)</t>
  </si>
  <si>
    <t>Temp Rise at Rated kVA</t>
  </si>
  <si>
    <t>65K</t>
  </si>
  <si>
    <t>Max % Reg at Rated kVA,       100% Power Factor</t>
  </si>
  <si>
    <t>Max % Reg at Rated kVA,         85% Power Factor</t>
  </si>
  <si>
    <t>No-Load Loss (kW)</t>
  </si>
  <si>
    <t>Load Loss (kW)</t>
  </si>
  <si>
    <t xml:space="preserve">HV - 7.2-13.8KV  AL-AL </t>
  </si>
  <si>
    <t>1-10 units price</t>
  </si>
  <si>
    <t>above 10 units price</t>
  </si>
  <si>
    <t>LINE</t>
  </si>
  <si>
    <t>DESCRIPTION</t>
  </si>
  <si>
    <t>(DDP) FR3</t>
  </si>
  <si>
    <t>(DDP) MINERAL</t>
  </si>
  <si>
    <t>(FOB) FR3</t>
  </si>
  <si>
    <t>(FOB) MINERAL</t>
  </si>
  <si>
    <t>15KVA, PAD, 1P, 240/120</t>
  </si>
  <si>
    <t>25KVA, PAD, 1P, 240/120</t>
  </si>
  <si>
    <t>37-1/2, PAD, 1P, 240/120</t>
  </si>
  <si>
    <t>50KVA, PAD, 1P, 240/120</t>
  </si>
  <si>
    <t>75KVA, PAD, 1P, 240/120</t>
  </si>
  <si>
    <t>100KVA, PAD, 1P, 240/120</t>
  </si>
  <si>
    <t>167KVA, PAD, 1P, 240/120</t>
  </si>
  <si>
    <t>250KVA, PAD, 1P, 240/120</t>
  </si>
  <si>
    <t>333KVA, PAD, 1P, 240/120</t>
  </si>
  <si>
    <t>1-5 units price</t>
  </si>
  <si>
    <t>above 5 units price</t>
  </si>
  <si>
    <t xml:space="preserve"> 45KVA, PAD, 3P, 208/120</t>
  </si>
  <si>
    <t xml:space="preserve"> 75KVA, PAD, 3P, 208/120</t>
  </si>
  <si>
    <t xml:space="preserve"> 112.5KVA, PAD, 3P, 208/120</t>
  </si>
  <si>
    <t xml:space="preserve"> 150KVA, PAD, 3P, 208/120</t>
  </si>
  <si>
    <t xml:space="preserve"> 225KVA, PAD, 3P, 208/120</t>
  </si>
  <si>
    <t xml:space="preserve"> 300KVA, PAD, 3P, 208/120</t>
  </si>
  <si>
    <t xml:space="preserve"> 500KVA, PAD, 3P, 208/120</t>
  </si>
  <si>
    <t xml:space="preserve"> 750KVA, PAD, 3P, 208/120</t>
  </si>
  <si>
    <t>1000KVA, PAD, 3P, 208/120</t>
  </si>
  <si>
    <t>1500KVA, PAD, 3P, 480/277</t>
  </si>
  <si>
    <t>2000KVA, PAD, 3P, 480/277</t>
  </si>
  <si>
    <t>2500KVA, PAD, 3P, 480/277</t>
  </si>
  <si>
    <t>15KVA, POLE, 1P, 120/240</t>
  </si>
  <si>
    <t>25KVA, POLE, 1P, 120/240</t>
  </si>
  <si>
    <t>37.5KVA, POLE, 1P, 120/240</t>
  </si>
  <si>
    <t>50KVA, POLE, 1P, 120/240</t>
  </si>
  <si>
    <t>75KVA, POLE, 1P, 120/240</t>
  </si>
  <si>
    <t>100KVA, POLE, 1P, 120/240</t>
  </si>
  <si>
    <t>167KVA, POLE, 1P, 120/240</t>
  </si>
  <si>
    <t>250KVA, POLE, 1P, 120/240</t>
  </si>
  <si>
    <t>333KVA, POLE, 1P, 120/240</t>
  </si>
  <si>
    <t xml:space="preserve"> 45KVA, SUB, 3P, 208/120</t>
  </si>
  <si>
    <t xml:space="preserve"> 75KVA, SUB, 3P, 208/120</t>
  </si>
  <si>
    <t xml:space="preserve"> 112.5KVA, SUB, 3P, 208/120</t>
  </si>
  <si>
    <t xml:space="preserve"> 150KVA, SUB, 3P, 208/120</t>
  </si>
  <si>
    <t xml:space="preserve"> 225KVA, SUB, 3P, 208/120</t>
  </si>
  <si>
    <t xml:space="preserve"> 300KVA, SUB, 3P, 208/120</t>
  </si>
  <si>
    <t xml:space="preserve"> 500KVA, SUB, 3P, 208/120</t>
  </si>
  <si>
    <t xml:space="preserve"> 750KVA, SUB, 3P, 208/120</t>
  </si>
  <si>
    <t>1000KVA, SUB, 3P, 208/120</t>
  </si>
  <si>
    <t>1500KVA, SUB, 3P, 480/277</t>
  </si>
  <si>
    <t>2000KVA, SUB, 3P, 480/277</t>
  </si>
  <si>
    <t>2500KVA, SUB, 3P, 480/277</t>
  </si>
  <si>
    <t>3000KVA, SUB, 3P, 208/120</t>
  </si>
  <si>
    <t>3150KVA, SUB, 3P, 480/277</t>
  </si>
  <si>
    <t>4000KVA, SUB, 3P, 480/277</t>
  </si>
  <si>
    <t>5000KVA, SUB, 3P, 480/277</t>
  </si>
  <si>
    <t>注意：小主变价格基于基本配置，进出线方式不限制，不含配电箱等特殊要求，如客户有特殊配置要求，请咨询工程师团队</t>
  </si>
  <si>
    <t>标准配置：</t>
  </si>
  <si>
    <r>
      <rPr>
        <sz val="11"/>
        <color theme="1"/>
        <rFont val="Calibri"/>
        <charset val="134"/>
      </rPr>
      <t xml:space="preserve">1,COOPER /Chardon fuse, </t>
    </r>
    <r>
      <rPr>
        <sz val="11"/>
        <color theme="1"/>
        <rFont val="宋体"/>
        <charset val="134"/>
      </rPr>
      <t>要注意这两个品牌的交期，如果交期太长，可推荐厚德</t>
    </r>
    <r>
      <rPr>
        <sz val="11"/>
        <color theme="1"/>
        <rFont val="Calibri"/>
        <charset val="134"/>
      </rPr>
      <t>Fuse</t>
    </r>
  </si>
  <si>
    <r>
      <rPr>
        <sz val="11"/>
        <color theme="1"/>
        <rFont val="Calibri"/>
        <charset val="134"/>
      </rPr>
      <t>2, Chardon/HJ bushing,</t>
    </r>
    <r>
      <rPr>
        <sz val="11"/>
        <color theme="1"/>
        <rFont val="宋体"/>
        <charset val="134"/>
      </rPr>
      <t>要注意这两个品牌的交期，如果交期太长，可推荐舍达或国内其他品牌</t>
    </r>
  </si>
  <si>
    <r>
      <rPr>
        <sz val="11"/>
        <color theme="1"/>
        <rFont val="Calibri"/>
        <charset val="134"/>
      </rPr>
      <t xml:space="preserve">HV 14.4-25KV , </t>
    </r>
    <r>
      <rPr>
        <sz val="11"/>
        <color theme="1"/>
        <rFont val="宋体"/>
        <charset val="134"/>
      </rPr>
      <t>加15个点，阻抗，损耗不同，咨询工程师</t>
    </r>
  </si>
  <si>
    <r>
      <rPr>
        <sz val="11"/>
        <color theme="1"/>
        <rFont val="Calibri"/>
        <charset val="134"/>
      </rPr>
      <t xml:space="preserve">HV 26-34.5KV, </t>
    </r>
    <r>
      <rPr>
        <sz val="11"/>
        <color theme="1"/>
        <rFont val="宋体"/>
        <charset val="134"/>
      </rPr>
      <t>加20个点，阻抗，损耗不同，咨询工程师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</si>
</sst>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;\-\$#,##0"/>
  </numFmts>
  <fonts count="25">
    <font>
      <sz val="12"/>
      <color theme="1"/>
      <name val="宋体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1"/>
      <color rgb="FFFF0000"/>
      <name val="Calibri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0" borderId="3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3" applyNumberFormat="0" applyFill="0" applyAlignment="0" applyProtection="0">
      <alignment vertical="center"/>
    </xf>
    <xf numFmtId="0" fontId="12" fillId="0" borderId="33" applyNumberFormat="0" applyFill="0" applyAlignment="0" applyProtection="0">
      <alignment vertical="center"/>
    </xf>
    <xf numFmtId="0" fontId="13" fillId="0" borderId="3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35" applyNumberFormat="0" applyAlignment="0" applyProtection="0">
      <alignment vertical="center"/>
    </xf>
    <xf numFmtId="0" fontId="15" fillId="12" borderId="36" applyNumberFormat="0" applyAlignment="0" applyProtection="0">
      <alignment vertical="center"/>
    </xf>
    <xf numFmtId="0" fontId="16" fillId="12" borderId="35" applyNumberFormat="0" applyAlignment="0" applyProtection="0">
      <alignment vertical="center"/>
    </xf>
    <xf numFmtId="0" fontId="17" fillId="13" borderId="37" applyNumberFormat="0" applyAlignment="0" applyProtection="0">
      <alignment vertical="center"/>
    </xf>
    <xf numFmtId="0" fontId="18" fillId="0" borderId="38" applyNumberFormat="0" applyFill="0" applyAlignment="0" applyProtection="0">
      <alignment vertical="center"/>
    </xf>
    <xf numFmtId="0" fontId="19" fillId="0" borderId="39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154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4" borderId="8" xfId="0" applyFont="1" applyFill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10" fontId="3" fillId="3" borderId="14" xfId="0" applyNumberFormat="1" applyFont="1" applyFill="1" applyBorder="1" applyAlignment="1">
      <alignment horizontal="center" vertical="center"/>
    </xf>
    <xf numFmtId="10" fontId="3" fillId="3" borderId="12" xfId="0" applyNumberFormat="1" applyFont="1" applyFill="1" applyBorder="1" applyAlignment="1">
      <alignment horizontal="center" vertical="center"/>
    </xf>
    <xf numFmtId="10" fontId="3" fillId="3" borderId="13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0" fontId="3" fillId="2" borderId="8" xfId="0" applyNumberFormat="1" applyFont="1" applyFill="1" applyBorder="1" applyAlignment="1">
      <alignment horizontal="center" vertical="center"/>
    </xf>
    <xf numFmtId="10" fontId="3" fillId="3" borderId="8" xfId="0" applyNumberFormat="1" applyFont="1" applyFill="1" applyBorder="1" applyAlignment="1">
      <alignment horizontal="center" vertical="center" wrapText="1"/>
    </xf>
    <xf numFmtId="10" fontId="3" fillId="3" borderId="11" xfId="0" applyNumberFormat="1" applyFont="1" applyFill="1" applyBorder="1" applyAlignment="1">
      <alignment horizontal="center" vertical="center"/>
    </xf>
    <xf numFmtId="10" fontId="3" fillId="3" borderId="9" xfId="0" applyNumberFormat="1" applyFont="1" applyFill="1" applyBorder="1" applyAlignment="1">
      <alignment horizontal="center" vertical="center"/>
    </xf>
    <xf numFmtId="10" fontId="3" fillId="3" borderId="10" xfId="0" applyNumberFormat="1" applyFont="1" applyFill="1" applyBorder="1" applyAlignment="1">
      <alignment horizontal="center" vertical="center"/>
    </xf>
    <xf numFmtId="10" fontId="3" fillId="4" borderId="8" xfId="0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3" fillId="2" borderId="16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vertical="center"/>
    </xf>
    <xf numFmtId="0" fontId="1" fillId="5" borderId="21" xfId="0" applyFont="1" applyFill="1" applyBorder="1" applyAlignment="1">
      <alignment vertical="center"/>
    </xf>
    <xf numFmtId="0" fontId="1" fillId="5" borderId="22" xfId="0" applyFont="1" applyFill="1" applyBorder="1" applyAlignment="1">
      <alignment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left" vertical="center"/>
    </xf>
    <xf numFmtId="0" fontId="1" fillId="5" borderId="14" xfId="0" applyFont="1" applyFill="1" applyBorder="1" applyAlignment="1">
      <alignment horizontal="left" vertical="center"/>
    </xf>
    <xf numFmtId="176" fontId="1" fillId="5" borderId="1" xfId="0" applyNumberFormat="1" applyFont="1" applyFill="1" applyBorder="1" applyAlignment="1">
      <alignment horizontal="center" vertical="center"/>
    </xf>
    <xf numFmtId="176" fontId="1" fillId="5" borderId="2" xfId="0" applyNumberFormat="1" applyFont="1" applyFill="1" applyBorder="1" applyAlignment="1">
      <alignment horizontal="center" vertical="center"/>
    </xf>
    <xf numFmtId="176" fontId="1" fillId="5" borderId="3" xfId="0" applyNumberFormat="1" applyFont="1" applyFill="1" applyBorder="1" applyAlignment="1">
      <alignment horizontal="center" vertical="center"/>
    </xf>
    <xf numFmtId="176" fontId="1" fillId="5" borderId="26" xfId="0" applyNumberFormat="1" applyFont="1" applyFill="1" applyBorder="1" applyAlignment="1">
      <alignment horizontal="center" vertical="center"/>
    </xf>
    <xf numFmtId="176" fontId="1" fillId="5" borderId="0" xfId="0" applyNumberFormat="1" applyFont="1" applyFill="1" applyBorder="1" applyAlignment="1">
      <alignment horizontal="center" vertical="center"/>
    </xf>
    <xf numFmtId="176" fontId="1" fillId="5" borderId="27" xfId="0" applyNumberFormat="1" applyFont="1" applyFill="1" applyBorder="1" applyAlignment="1">
      <alignment horizontal="center" vertical="center"/>
    </xf>
    <xf numFmtId="176" fontId="1" fillId="5" borderId="20" xfId="0" applyNumberFormat="1" applyFont="1" applyFill="1" applyBorder="1" applyAlignment="1">
      <alignment horizontal="center" vertical="center"/>
    </xf>
    <xf numFmtId="176" fontId="1" fillId="5" borderId="21" xfId="0" applyNumberFormat="1" applyFont="1" applyFill="1" applyBorder="1" applyAlignment="1">
      <alignment horizontal="center" vertical="center"/>
    </xf>
    <xf numFmtId="176" fontId="1" fillId="5" borderId="22" xfId="0" applyNumberFormat="1" applyFont="1" applyFill="1" applyBorder="1" applyAlignment="1">
      <alignment horizontal="center" vertical="center"/>
    </xf>
    <xf numFmtId="0" fontId="1" fillId="6" borderId="26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176" fontId="1" fillId="6" borderId="1" xfId="0" applyNumberFormat="1" applyFont="1" applyFill="1" applyBorder="1" applyAlignment="1">
      <alignment horizontal="center" vertical="center"/>
    </xf>
    <xf numFmtId="176" fontId="1" fillId="6" borderId="2" xfId="0" applyNumberFormat="1" applyFont="1" applyFill="1" applyBorder="1" applyAlignment="1">
      <alignment horizontal="center" vertical="center"/>
    </xf>
    <xf numFmtId="176" fontId="1" fillId="6" borderId="3" xfId="0" applyNumberFormat="1" applyFont="1" applyFill="1" applyBorder="1" applyAlignment="1">
      <alignment horizontal="center" vertical="center"/>
    </xf>
    <xf numFmtId="176" fontId="1" fillId="6" borderId="20" xfId="0" applyNumberFormat="1" applyFont="1" applyFill="1" applyBorder="1" applyAlignment="1">
      <alignment horizontal="center" vertical="center"/>
    </xf>
    <xf numFmtId="176" fontId="1" fillId="6" borderId="21" xfId="0" applyNumberFormat="1" applyFont="1" applyFill="1" applyBorder="1" applyAlignment="1">
      <alignment horizontal="center" vertical="center"/>
    </xf>
    <xf numFmtId="176" fontId="1" fillId="6" borderId="22" xfId="0" applyNumberFormat="1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left" vertical="center"/>
    </xf>
    <xf numFmtId="0" fontId="1" fillId="6" borderId="12" xfId="0" applyFont="1" applyFill="1" applyBorder="1" applyAlignment="1">
      <alignment horizontal="left" vertical="center"/>
    </xf>
    <xf numFmtId="176" fontId="1" fillId="6" borderId="26" xfId="0" applyNumberFormat="1" applyFont="1" applyFill="1" applyBorder="1" applyAlignment="1">
      <alignment horizontal="center" vertical="center"/>
    </xf>
    <xf numFmtId="176" fontId="1" fillId="6" borderId="0" xfId="0" applyNumberFormat="1" applyFont="1" applyFill="1" applyBorder="1" applyAlignment="1">
      <alignment horizontal="center" vertical="center"/>
    </xf>
    <xf numFmtId="176" fontId="1" fillId="6" borderId="0" xfId="0" applyNumberFormat="1" applyFont="1" applyFill="1" applyAlignment="1">
      <alignment horizontal="center" vertical="center"/>
    </xf>
    <xf numFmtId="176" fontId="1" fillId="6" borderId="27" xfId="0" applyNumberFormat="1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28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left" vertical="center"/>
    </xf>
    <xf numFmtId="0" fontId="1" fillId="8" borderId="29" xfId="0" applyFont="1" applyFill="1" applyBorder="1" applyAlignment="1">
      <alignment horizontal="left" vertical="center"/>
    </xf>
    <xf numFmtId="176" fontId="1" fillId="8" borderId="1" xfId="0" applyNumberFormat="1" applyFont="1" applyFill="1" applyBorder="1" applyAlignment="1">
      <alignment horizontal="center" vertical="center"/>
    </xf>
    <xf numFmtId="176" fontId="1" fillId="8" borderId="2" xfId="0" applyNumberFormat="1" applyFont="1" applyFill="1" applyBorder="1" applyAlignment="1">
      <alignment horizontal="center" vertical="center"/>
    </xf>
    <xf numFmtId="176" fontId="1" fillId="8" borderId="3" xfId="0" applyNumberFormat="1" applyFont="1" applyFill="1" applyBorder="1" applyAlignment="1">
      <alignment horizontal="center" vertical="center"/>
    </xf>
    <xf numFmtId="176" fontId="1" fillId="8" borderId="26" xfId="0" applyNumberFormat="1" applyFont="1" applyFill="1" applyBorder="1" applyAlignment="1">
      <alignment horizontal="center" vertical="center"/>
    </xf>
    <xf numFmtId="176" fontId="1" fillId="8" borderId="0" xfId="0" applyNumberFormat="1" applyFont="1" applyFill="1" applyAlignment="1">
      <alignment horizontal="center" vertical="center"/>
    </xf>
    <xf numFmtId="176" fontId="1" fillId="8" borderId="27" xfId="0" applyNumberFormat="1" applyFont="1" applyFill="1" applyBorder="1" applyAlignment="1">
      <alignment horizontal="center" vertical="center"/>
    </xf>
    <xf numFmtId="176" fontId="1" fillId="8" borderId="0" xfId="0" applyNumberFormat="1" applyFont="1" applyFill="1" applyBorder="1" applyAlignment="1">
      <alignment horizontal="center" vertical="center"/>
    </xf>
    <xf numFmtId="176" fontId="1" fillId="8" borderId="20" xfId="0" applyNumberFormat="1" applyFont="1" applyFill="1" applyBorder="1" applyAlignment="1">
      <alignment horizontal="center" vertical="center"/>
    </xf>
    <xf numFmtId="176" fontId="1" fillId="8" borderId="21" xfId="0" applyNumberFormat="1" applyFont="1" applyFill="1" applyBorder="1" applyAlignment="1">
      <alignment horizontal="center" vertical="center"/>
    </xf>
    <xf numFmtId="176" fontId="1" fillId="8" borderId="22" xfId="0" applyNumberFormat="1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176" fontId="1" fillId="9" borderId="1" xfId="0" applyNumberFormat="1" applyFont="1" applyFill="1" applyBorder="1" applyAlignment="1">
      <alignment horizontal="center" vertical="center"/>
    </xf>
    <xf numFmtId="176" fontId="1" fillId="9" borderId="2" xfId="0" applyNumberFormat="1" applyFont="1" applyFill="1" applyBorder="1" applyAlignment="1">
      <alignment horizontal="center" vertical="center"/>
    </xf>
    <xf numFmtId="176" fontId="1" fillId="9" borderId="3" xfId="0" applyNumberFormat="1" applyFont="1" applyFill="1" applyBorder="1" applyAlignment="1">
      <alignment horizontal="center" vertical="center"/>
    </xf>
    <xf numFmtId="176" fontId="1" fillId="9" borderId="20" xfId="0" applyNumberFormat="1" applyFont="1" applyFill="1" applyBorder="1" applyAlignment="1">
      <alignment horizontal="center" vertical="center"/>
    </xf>
    <xf numFmtId="176" fontId="1" fillId="9" borderId="21" xfId="0" applyNumberFormat="1" applyFont="1" applyFill="1" applyBorder="1" applyAlignment="1">
      <alignment horizontal="center" vertical="center"/>
    </xf>
    <xf numFmtId="176" fontId="1" fillId="9" borderId="22" xfId="0" applyNumberFormat="1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left" vertical="center"/>
    </xf>
    <xf numFmtId="0" fontId="1" fillId="9" borderId="14" xfId="0" applyFont="1" applyFill="1" applyBorder="1" applyAlignment="1">
      <alignment horizontal="left" vertical="center"/>
    </xf>
    <xf numFmtId="176" fontId="1" fillId="9" borderId="26" xfId="0" applyNumberFormat="1" applyFont="1" applyFill="1" applyBorder="1" applyAlignment="1">
      <alignment horizontal="center" vertical="center"/>
    </xf>
    <xf numFmtId="176" fontId="1" fillId="9" borderId="0" xfId="0" applyNumberFormat="1" applyFont="1" applyFill="1" applyAlignment="1">
      <alignment horizontal="center" vertical="center"/>
    </xf>
    <xf numFmtId="176" fontId="1" fillId="9" borderId="2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41FF96"/>
      <color rgb="00B9FFD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88"/>
  <sheetViews>
    <sheetView tabSelected="1" showRuler="0" topLeftCell="T1" workbookViewId="0">
      <selection activeCell="A13" sqref="$A2:$XFD13"/>
    </sheetView>
  </sheetViews>
  <sheetFormatPr defaultColWidth="10.6666666666667" defaultRowHeight="14.5"/>
  <cols>
    <col min="1" max="1" width="20.5" style="1" customWidth="1"/>
    <col min="2" max="2" width="13.75" style="1" customWidth="1"/>
    <col min="3" max="3" width="10.6666666666667" style="1"/>
    <col min="4" max="4" width="13.9166666666667" style="1" customWidth="1"/>
    <col min="5" max="5" width="16.4166666666667" style="1" customWidth="1"/>
    <col min="6" max="6" width="13.3333333333333" style="1" customWidth="1"/>
    <col min="7" max="7" width="15.1666666666667" style="1" customWidth="1"/>
    <col min="8" max="8" width="14.3333333333333" style="1" customWidth="1"/>
    <col min="9" max="9" width="14.5833333333333" style="1" customWidth="1"/>
    <col min="10" max="10" width="13.5" style="1" customWidth="1"/>
    <col min="11" max="11" width="17.5" style="1" customWidth="1"/>
    <col min="12" max="16384" width="10.6666666666667" style="1"/>
  </cols>
  <sheetData>
    <row r="1" ht="15.25" spans="1:34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/>
    </row>
    <row r="2" spans="1:34">
      <c r="A2" s="5"/>
      <c r="B2" s="6" t="s">
        <v>0</v>
      </c>
      <c r="C2" s="7"/>
      <c r="D2" s="7"/>
      <c r="E2" s="7"/>
      <c r="F2" s="7"/>
      <c r="G2" s="8"/>
      <c r="H2" s="9" t="s">
        <v>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1"/>
      <c r="AA2" s="12" t="s">
        <v>2</v>
      </c>
      <c r="AB2" s="13"/>
      <c r="AC2" s="13"/>
      <c r="AD2" s="13"/>
      <c r="AE2" s="13"/>
      <c r="AF2" s="13"/>
      <c r="AG2" s="13"/>
      <c r="AH2" s="14"/>
    </row>
    <row r="3" spans="1:34">
      <c r="A3" s="15" t="s">
        <v>3</v>
      </c>
      <c r="B3" s="16">
        <v>1</v>
      </c>
      <c r="C3" s="17">
        <v>2</v>
      </c>
      <c r="D3" s="17">
        <v>3</v>
      </c>
      <c r="E3" s="17">
        <v>4</v>
      </c>
      <c r="F3" s="17">
        <v>5</v>
      </c>
      <c r="G3" s="18">
        <v>6</v>
      </c>
      <c r="H3" s="19">
        <v>7</v>
      </c>
      <c r="I3" s="20">
        <v>8</v>
      </c>
      <c r="J3" s="20">
        <v>9</v>
      </c>
      <c r="K3" s="20">
        <v>10</v>
      </c>
      <c r="L3" s="20">
        <v>11</v>
      </c>
      <c r="M3" s="20">
        <v>12</v>
      </c>
      <c r="N3" s="20">
        <v>13</v>
      </c>
      <c r="O3" s="20">
        <v>14</v>
      </c>
      <c r="P3" s="20">
        <v>15</v>
      </c>
      <c r="Q3" s="20">
        <v>16</v>
      </c>
      <c r="R3" s="20">
        <v>17</v>
      </c>
      <c r="S3" s="20">
        <v>18</v>
      </c>
      <c r="T3" s="20">
        <v>19</v>
      </c>
      <c r="U3" s="20">
        <v>20</v>
      </c>
      <c r="V3" s="20">
        <v>21</v>
      </c>
      <c r="W3" s="20">
        <v>22</v>
      </c>
      <c r="X3" s="20">
        <v>23</v>
      </c>
      <c r="Y3" s="20">
        <v>24</v>
      </c>
      <c r="Z3" s="21">
        <v>25</v>
      </c>
      <c r="AA3" s="22">
        <v>26</v>
      </c>
      <c r="AB3" s="23">
        <v>27</v>
      </c>
      <c r="AC3" s="23">
        <v>28</v>
      </c>
      <c r="AD3" s="23">
        <v>29</v>
      </c>
      <c r="AE3" s="23">
        <v>30</v>
      </c>
      <c r="AF3" s="23">
        <v>31</v>
      </c>
      <c r="AG3" s="23">
        <v>32</v>
      </c>
      <c r="AH3" s="24">
        <v>33</v>
      </c>
    </row>
    <row r="4" spans="1:34">
      <c r="A4" s="15" t="s">
        <v>4</v>
      </c>
      <c r="B4" s="16">
        <v>25</v>
      </c>
      <c r="C4" s="17" t="s">
        <v>5</v>
      </c>
      <c r="D4" s="17">
        <v>50</v>
      </c>
      <c r="E4" s="17">
        <v>75</v>
      </c>
      <c r="F4" s="17">
        <v>100</v>
      </c>
      <c r="G4" s="18">
        <v>167</v>
      </c>
      <c r="H4" s="19">
        <v>45</v>
      </c>
      <c r="I4" s="20">
        <v>75</v>
      </c>
      <c r="J4" s="20">
        <v>75</v>
      </c>
      <c r="K4" s="20" t="s">
        <v>6</v>
      </c>
      <c r="L4" s="20">
        <v>150</v>
      </c>
      <c r="M4" s="20">
        <v>150</v>
      </c>
      <c r="N4" s="20">
        <v>225</v>
      </c>
      <c r="O4" s="20">
        <v>225</v>
      </c>
      <c r="P4" s="20">
        <v>300</v>
      </c>
      <c r="Q4" s="20">
        <v>300</v>
      </c>
      <c r="R4" s="20">
        <v>500</v>
      </c>
      <c r="S4" s="20">
        <v>500</v>
      </c>
      <c r="T4" s="20">
        <v>750</v>
      </c>
      <c r="U4" s="20">
        <v>750</v>
      </c>
      <c r="V4" s="20">
        <v>1000</v>
      </c>
      <c r="W4" s="20">
        <v>1000</v>
      </c>
      <c r="X4" s="20">
        <v>1500</v>
      </c>
      <c r="Y4" s="20">
        <v>2000</v>
      </c>
      <c r="Z4" s="21">
        <v>2500</v>
      </c>
      <c r="AA4" s="22">
        <v>15</v>
      </c>
      <c r="AB4" s="23">
        <v>25</v>
      </c>
      <c r="AC4" s="25" t="s">
        <v>5</v>
      </c>
      <c r="AD4" s="23">
        <v>50</v>
      </c>
      <c r="AE4" s="23">
        <v>75</v>
      </c>
      <c r="AF4" s="23">
        <v>75</v>
      </c>
      <c r="AG4" s="23">
        <v>100</v>
      </c>
      <c r="AH4" s="24">
        <v>167</v>
      </c>
    </row>
    <row r="5" spans="1:34">
      <c r="A5" s="15" t="s">
        <v>7</v>
      </c>
      <c r="B5" s="16" t="s">
        <v>8</v>
      </c>
      <c r="C5" s="17" t="s">
        <v>8</v>
      </c>
      <c r="D5" s="17" t="s">
        <v>8</v>
      </c>
      <c r="E5" s="17" t="s">
        <v>8</v>
      </c>
      <c r="F5" s="17" t="s">
        <v>8</v>
      </c>
      <c r="G5" s="18" t="s">
        <v>8</v>
      </c>
      <c r="H5" s="19" t="s">
        <v>9</v>
      </c>
      <c r="I5" s="20" t="s">
        <v>9</v>
      </c>
      <c r="J5" s="20" t="s">
        <v>10</v>
      </c>
      <c r="K5" s="20" t="s">
        <v>9</v>
      </c>
      <c r="L5" s="20" t="s">
        <v>9</v>
      </c>
      <c r="M5" s="20" t="s">
        <v>10</v>
      </c>
      <c r="N5" s="20" t="s">
        <v>9</v>
      </c>
      <c r="O5" s="20" t="s">
        <v>10</v>
      </c>
      <c r="P5" s="20" t="s">
        <v>9</v>
      </c>
      <c r="Q5" s="20" t="s">
        <v>10</v>
      </c>
      <c r="R5" s="20" t="s">
        <v>9</v>
      </c>
      <c r="S5" s="20" t="s">
        <v>10</v>
      </c>
      <c r="T5" s="20" t="s">
        <v>9</v>
      </c>
      <c r="U5" s="20" t="s">
        <v>10</v>
      </c>
      <c r="V5" s="20" t="s">
        <v>9</v>
      </c>
      <c r="W5" s="20" t="s">
        <v>10</v>
      </c>
      <c r="X5" s="20" t="s">
        <v>10</v>
      </c>
      <c r="Y5" s="20" t="s">
        <v>10</v>
      </c>
      <c r="Z5" s="21" t="s">
        <v>10</v>
      </c>
      <c r="AA5" s="22" t="s">
        <v>8</v>
      </c>
      <c r="AB5" s="23" t="s">
        <v>8</v>
      </c>
      <c r="AC5" s="23" t="s">
        <v>8</v>
      </c>
      <c r="AD5" s="23" t="s">
        <v>8</v>
      </c>
      <c r="AE5" s="23" t="s">
        <v>8</v>
      </c>
      <c r="AF5" s="23" t="s">
        <v>11</v>
      </c>
      <c r="AG5" s="23" t="s">
        <v>8</v>
      </c>
      <c r="AH5" s="24" t="s">
        <v>8</v>
      </c>
    </row>
    <row r="6" spans="1:34">
      <c r="A6" s="15" t="s">
        <v>12</v>
      </c>
      <c r="B6" s="16"/>
      <c r="C6" s="17"/>
      <c r="D6" s="17"/>
      <c r="E6" s="17"/>
      <c r="F6" s="17"/>
      <c r="G6" s="18"/>
      <c r="H6" s="26"/>
      <c r="I6" s="20"/>
      <c r="J6" s="20"/>
      <c r="K6" s="20"/>
      <c r="L6" s="20"/>
      <c r="M6" s="20"/>
      <c r="N6" s="20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8"/>
      <c r="AA6" s="29"/>
      <c r="AB6" s="25"/>
      <c r="AC6" s="25"/>
      <c r="AD6" s="25"/>
      <c r="AE6" s="25"/>
      <c r="AF6" s="25"/>
      <c r="AG6" s="25"/>
      <c r="AH6" s="30"/>
    </row>
    <row r="7" spans="1:34">
      <c r="A7" s="15" t="s">
        <v>13</v>
      </c>
      <c r="B7" s="31" t="s">
        <v>14</v>
      </c>
      <c r="C7" s="32"/>
      <c r="D7" s="31" t="s">
        <v>15</v>
      </c>
      <c r="E7" s="33"/>
      <c r="F7" s="33"/>
      <c r="G7" s="34"/>
      <c r="H7" s="35" t="s">
        <v>16</v>
      </c>
      <c r="I7" s="36"/>
      <c r="J7" s="37" t="s">
        <v>17</v>
      </c>
      <c r="K7" s="38"/>
      <c r="L7" s="38"/>
      <c r="M7" s="38"/>
      <c r="N7" s="38"/>
      <c r="O7" s="38"/>
      <c r="P7" s="38"/>
      <c r="Q7" s="36"/>
      <c r="R7" s="37" t="s">
        <v>18</v>
      </c>
      <c r="S7" s="36"/>
      <c r="T7" s="39">
        <v>0.0575</v>
      </c>
      <c r="U7" s="40"/>
      <c r="V7" s="40"/>
      <c r="W7" s="40"/>
      <c r="X7" s="40"/>
      <c r="Y7" s="40"/>
      <c r="Z7" s="41"/>
      <c r="AA7" s="42" t="s">
        <v>14</v>
      </c>
      <c r="AB7" s="43"/>
      <c r="AC7" s="44"/>
      <c r="AD7" s="45" t="s">
        <v>15</v>
      </c>
      <c r="AE7" s="43"/>
      <c r="AF7" s="43"/>
      <c r="AG7" s="43"/>
      <c r="AH7" s="46"/>
    </row>
    <row r="8" spans="1:34">
      <c r="A8" s="15" t="s">
        <v>19</v>
      </c>
      <c r="B8" s="47">
        <v>760</v>
      </c>
      <c r="C8" s="48">
        <v>941</v>
      </c>
      <c r="D8" s="48">
        <v>1216</v>
      </c>
      <c r="E8" s="48">
        <v>1487</v>
      </c>
      <c r="F8" s="48">
        <v>1813</v>
      </c>
      <c r="G8" s="49">
        <v>2078</v>
      </c>
      <c r="H8" s="50">
        <v>2162</v>
      </c>
      <c r="I8" s="51">
        <v>2437</v>
      </c>
      <c r="J8" s="51">
        <v>2435</v>
      </c>
      <c r="K8" s="51">
        <v>2951</v>
      </c>
      <c r="L8" s="51">
        <v>3125</v>
      </c>
      <c r="M8" s="51">
        <v>3124</v>
      </c>
      <c r="N8" s="51">
        <v>3779</v>
      </c>
      <c r="O8" s="51">
        <v>3777</v>
      </c>
      <c r="P8" s="51">
        <v>4452</v>
      </c>
      <c r="Q8" s="51">
        <v>4450</v>
      </c>
      <c r="R8" s="51">
        <v>5893</v>
      </c>
      <c r="S8" s="51">
        <v>5890</v>
      </c>
      <c r="T8" s="51">
        <v>7716</v>
      </c>
      <c r="U8" s="51">
        <v>7713</v>
      </c>
      <c r="V8" s="51">
        <v>8802</v>
      </c>
      <c r="W8" s="51">
        <v>8800</v>
      </c>
      <c r="X8" s="51">
        <v>11601</v>
      </c>
      <c r="Y8" s="51">
        <v>14604</v>
      </c>
      <c r="Z8" s="52">
        <v>16034</v>
      </c>
      <c r="AA8" s="53">
        <v>343</v>
      </c>
      <c r="AB8" s="54">
        <v>403</v>
      </c>
      <c r="AC8" s="54">
        <v>601</v>
      </c>
      <c r="AD8" s="54">
        <v>676</v>
      </c>
      <c r="AE8" s="54">
        <v>946</v>
      </c>
      <c r="AF8" s="54">
        <v>945</v>
      </c>
      <c r="AG8" s="54">
        <v>1230</v>
      </c>
      <c r="AH8" s="55">
        <v>1660</v>
      </c>
    </row>
    <row r="9" spans="1:34">
      <c r="A9" s="15" t="s">
        <v>20</v>
      </c>
      <c r="B9" s="31" t="s">
        <v>21</v>
      </c>
      <c r="C9" s="33"/>
      <c r="D9" s="33"/>
      <c r="E9" s="33"/>
      <c r="F9" s="33"/>
      <c r="G9" s="34"/>
      <c r="H9" s="35" t="s">
        <v>21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56"/>
      <c r="AA9" s="42" t="s">
        <v>21</v>
      </c>
      <c r="AB9" s="43"/>
      <c r="AC9" s="43"/>
      <c r="AD9" s="43"/>
      <c r="AE9" s="43"/>
      <c r="AF9" s="43"/>
      <c r="AG9" s="43"/>
      <c r="AH9" s="46"/>
    </row>
    <row r="10" ht="29" spans="1:34">
      <c r="A10" s="57" t="s">
        <v>22</v>
      </c>
      <c r="B10" s="58">
        <v>0.0109</v>
      </c>
      <c r="C10" s="58">
        <v>0.0099</v>
      </c>
      <c r="D10" s="58">
        <v>0.0098</v>
      </c>
      <c r="E10" s="58">
        <v>0.0092</v>
      </c>
      <c r="F10" s="58">
        <v>0.0083</v>
      </c>
      <c r="G10" s="58">
        <v>0.0075</v>
      </c>
      <c r="H10" s="59">
        <v>0.0134</v>
      </c>
      <c r="I10" s="39">
        <v>0.0124</v>
      </c>
      <c r="J10" s="60"/>
      <c r="K10" s="61">
        <v>0.0121</v>
      </c>
      <c r="L10" s="39">
        <v>0.0118</v>
      </c>
      <c r="M10" s="60"/>
      <c r="N10" s="39">
        <v>0.0113</v>
      </c>
      <c r="O10" s="60"/>
      <c r="P10" s="39">
        <v>0.0109</v>
      </c>
      <c r="Q10" s="60"/>
      <c r="R10" s="39">
        <v>0.0105</v>
      </c>
      <c r="S10" s="60"/>
      <c r="T10" s="39">
        <v>0.0102</v>
      </c>
      <c r="U10" s="60"/>
      <c r="V10" s="39">
        <v>0.0104</v>
      </c>
      <c r="W10" s="60"/>
      <c r="X10" s="61">
        <v>0.0097</v>
      </c>
      <c r="Y10" s="61">
        <v>0.0089</v>
      </c>
      <c r="Z10" s="62">
        <v>0.0089</v>
      </c>
      <c r="AA10" s="63">
        <v>0.0119</v>
      </c>
      <c r="AB10" s="63">
        <v>0.0109</v>
      </c>
      <c r="AC10" s="63">
        <v>0.0099</v>
      </c>
      <c r="AD10" s="63">
        <v>0.0098</v>
      </c>
      <c r="AE10" s="63">
        <v>0.0092</v>
      </c>
      <c r="AF10" s="63">
        <v>0.0091</v>
      </c>
      <c r="AG10" s="63">
        <v>0.0083</v>
      </c>
      <c r="AH10" s="63">
        <v>0.0075</v>
      </c>
    </row>
    <row r="11" ht="29" spans="1:34">
      <c r="A11" s="57" t="s">
        <v>23</v>
      </c>
      <c r="B11" s="58">
        <v>0.0183</v>
      </c>
      <c r="C11" s="58">
        <v>0.018</v>
      </c>
      <c r="D11" s="58">
        <v>0.0188</v>
      </c>
      <c r="E11" s="58">
        <v>0.019</v>
      </c>
      <c r="F11" s="58">
        <v>0.0178</v>
      </c>
      <c r="G11" s="58">
        <v>0.018</v>
      </c>
      <c r="H11" s="59">
        <v>0.0278</v>
      </c>
      <c r="I11" s="39">
        <v>0.0279</v>
      </c>
      <c r="J11" s="60"/>
      <c r="K11" s="61">
        <v>0.0306</v>
      </c>
      <c r="L11" s="39">
        <v>0.0316</v>
      </c>
      <c r="M11" s="60"/>
      <c r="N11" s="39">
        <v>0.0318</v>
      </c>
      <c r="O11" s="60"/>
      <c r="P11" s="39">
        <v>0.0318</v>
      </c>
      <c r="Q11" s="60"/>
      <c r="R11" s="39">
        <v>0.0381</v>
      </c>
      <c r="S11" s="60"/>
      <c r="T11" s="39">
        <v>0.0426</v>
      </c>
      <c r="U11" s="60"/>
      <c r="V11" s="39">
        <v>0.0437</v>
      </c>
      <c r="W11" s="60"/>
      <c r="X11" s="61">
        <v>0.0435</v>
      </c>
      <c r="Y11" s="61">
        <v>0.0423</v>
      </c>
      <c r="Z11" s="62">
        <v>0.042</v>
      </c>
      <c r="AA11" s="63">
        <v>0.0177</v>
      </c>
      <c r="AB11" s="63">
        <v>0.0183</v>
      </c>
      <c r="AC11" s="63">
        <v>0.018</v>
      </c>
      <c r="AD11" s="63">
        <v>0.0188</v>
      </c>
      <c r="AE11" s="63">
        <v>0.019</v>
      </c>
      <c r="AF11" s="63">
        <v>0.0189</v>
      </c>
      <c r="AG11" s="63">
        <v>0.0178</v>
      </c>
      <c r="AH11" s="63">
        <v>0.018</v>
      </c>
    </row>
    <row r="12" spans="1:34">
      <c r="A12" s="15" t="s">
        <v>24</v>
      </c>
      <c r="B12" s="47">
        <v>0.069</v>
      </c>
      <c r="C12" s="47">
        <v>0.094</v>
      </c>
      <c r="D12" s="47">
        <v>0.114</v>
      </c>
      <c r="E12" s="47">
        <v>0.154</v>
      </c>
      <c r="F12" s="47">
        <v>0.184</v>
      </c>
      <c r="G12" s="47">
        <v>0.279</v>
      </c>
      <c r="H12" s="50">
        <v>0.108</v>
      </c>
      <c r="I12" s="37">
        <v>0.158</v>
      </c>
      <c r="J12" s="36"/>
      <c r="K12" s="51">
        <v>0.208</v>
      </c>
      <c r="L12" s="37">
        <v>0.258</v>
      </c>
      <c r="M12" s="36"/>
      <c r="N12" s="37">
        <v>0.348</v>
      </c>
      <c r="O12" s="36"/>
      <c r="P12" s="37">
        <v>0.418</v>
      </c>
      <c r="Q12" s="36"/>
      <c r="R12" s="37">
        <v>0.603</v>
      </c>
      <c r="S12" s="36"/>
      <c r="T12" s="37">
        <v>0.823</v>
      </c>
      <c r="U12" s="36"/>
      <c r="V12" s="37">
        <v>0.978</v>
      </c>
      <c r="W12" s="36"/>
      <c r="X12" s="51">
        <v>1.35</v>
      </c>
      <c r="Y12" s="51">
        <v>1.68</v>
      </c>
      <c r="Z12" s="52">
        <v>2.01</v>
      </c>
      <c r="AA12" s="53">
        <v>0.047</v>
      </c>
      <c r="AB12" s="53">
        <v>0.069</v>
      </c>
      <c r="AC12" s="53">
        <v>0.094</v>
      </c>
      <c r="AD12" s="53">
        <v>0.114</v>
      </c>
      <c r="AE12" s="53">
        <v>0.154</v>
      </c>
      <c r="AF12" s="53">
        <v>0.154</v>
      </c>
      <c r="AG12" s="53">
        <v>0.184</v>
      </c>
      <c r="AH12" s="53">
        <v>0.279</v>
      </c>
    </row>
    <row r="13" ht="15.25" spans="1:34">
      <c r="A13" s="64" t="s">
        <v>25</v>
      </c>
      <c r="B13" s="65">
        <v>0.28</v>
      </c>
      <c r="C13" s="65">
        <v>0.375</v>
      </c>
      <c r="D13" s="65">
        <v>0.485</v>
      </c>
      <c r="E13" s="65">
        <v>0.67</v>
      </c>
      <c r="F13" s="65">
        <v>0.86</v>
      </c>
      <c r="G13" s="65">
        <v>1.26</v>
      </c>
      <c r="H13" s="66">
        <v>0.6</v>
      </c>
      <c r="I13" s="67">
        <v>0.92</v>
      </c>
      <c r="J13" s="68"/>
      <c r="K13" s="69">
        <v>1.3</v>
      </c>
      <c r="L13" s="37">
        <v>1.68</v>
      </c>
      <c r="M13" s="36"/>
      <c r="N13" s="37">
        <v>2.3</v>
      </c>
      <c r="O13" s="36"/>
      <c r="P13" s="37">
        <v>3.02</v>
      </c>
      <c r="Q13" s="36"/>
      <c r="R13" s="37">
        <v>4.6</v>
      </c>
      <c r="S13" s="36"/>
      <c r="T13" s="37">
        <v>6.45</v>
      </c>
      <c r="U13" s="36"/>
      <c r="V13" s="37">
        <v>8.43</v>
      </c>
      <c r="W13" s="36"/>
      <c r="X13" s="51">
        <v>11.48</v>
      </c>
      <c r="Y13" s="51">
        <v>14.5</v>
      </c>
      <c r="Z13" s="52">
        <v>17.5</v>
      </c>
      <c r="AA13" s="53">
        <v>0.185</v>
      </c>
      <c r="AB13" s="53">
        <v>0.28</v>
      </c>
      <c r="AC13" s="53">
        <v>0.375</v>
      </c>
      <c r="AD13" s="53">
        <v>0.485</v>
      </c>
      <c r="AE13" s="53">
        <v>0.67</v>
      </c>
      <c r="AF13" s="53">
        <v>0.67</v>
      </c>
      <c r="AG13" s="53">
        <v>0.86</v>
      </c>
      <c r="AH13" s="53">
        <v>1.26</v>
      </c>
    </row>
    <row r="14" spans="1:34">
      <c r="A14" s="70"/>
      <c r="B14" s="71"/>
      <c r="C14" s="72"/>
      <c r="D14" s="73" t="s">
        <v>26</v>
      </c>
      <c r="E14" s="73"/>
      <c r="F14" s="73"/>
      <c r="G14" s="74"/>
      <c r="H14" s="73" t="s">
        <v>26</v>
      </c>
      <c r="I14" s="73"/>
      <c r="J14" s="73"/>
      <c r="K14" s="74"/>
    </row>
    <row r="15" ht="15.25" spans="1:34">
      <c r="A15" s="75"/>
      <c r="B15" s="76"/>
      <c r="C15" s="77"/>
      <c r="D15" s="78" t="s">
        <v>27</v>
      </c>
      <c r="E15" s="78"/>
      <c r="F15" s="78"/>
      <c r="G15" s="79"/>
      <c r="H15" s="78" t="s">
        <v>28</v>
      </c>
      <c r="I15" s="78"/>
      <c r="J15" s="78"/>
      <c r="K15" s="79"/>
    </row>
    <row r="16" ht="19" customHeight="1" spans="1:34">
      <c r="A16" s="80" t="s">
        <v>29</v>
      </c>
      <c r="B16" s="81" t="s">
        <v>30</v>
      </c>
      <c r="C16" s="82"/>
      <c r="D16" s="83" t="s">
        <v>31</v>
      </c>
      <c r="E16" s="83" t="s">
        <v>32</v>
      </c>
      <c r="F16" s="83" t="s">
        <v>33</v>
      </c>
      <c r="G16" s="84" t="s">
        <v>34</v>
      </c>
      <c r="H16" s="85" t="s">
        <v>31</v>
      </c>
      <c r="I16" s="83" t="s">
        <v>32</v>
      </c>
      <c r="J16" s="83" t="s">
        <v>33</v>
      </c>
      <c r="K16" s="84" t="s">
        <v>34</v>
      </c>
    </row>
    <row r="17" ht="19" customHeight="1" spans="1:11">
      <c r="A17" s="86">
        <v>1</v>
      </c>
      <c r="B17" s="87" t="s">
        <v>35</v>
      </c>
      <c r="C17" s="88"/>
      <c r="D17" s="89">
        <f t="shared" ref="D17:I17" si="0">F17*1.2+400</f>
        <v>4240</v>
      </c>
      <c r="E17" s="90">
        <f t="shared" si="0"/>
        <v>3766</v>
      </c>
      <c r="F17" s="90">
        <v>3200</v>
      </c>
      <c r="G17" s="91">
        <f t="shared" ref="G17:G25" si="1">K17*1.1</f>
        <v>2805</v>
      </c>
      <c r="H17" s="90">
        <f t="shared" si="0"/>
        <v>4048</v>
      </c>
      <c r="I17" s="90">
        <f t="shared" si="0"/>
        <v>3460</v>
      </c>
      <c r="J17" s="90">
        <f>F17*0.95</f>
        <v>3040</v>
      </c>
      <c r="K17" s="91">
        <v>2550</v>
      </c>
    </row>
    <row r="18" spans="1:11">
      <c r="A18" s="86">
        <v>2</v>
      </c>
      <c r="B18" s="87" t="s">
        <v>36</v>
      </c>
      <c r="C18" s="88"/>
      <c r="D18" s="92">
        <f t="shared" ref="D18:D25" si="2">F18*1.2+400</f>
        <v>4420</v>
      </c>
      <c r="E18" s="93">
        <f t="shared" ref="E18:E25" si="3">G18*1.2+400</f>
        <v>3832</v>
      </c>
      <c r="F18" s="93">
        <v>3350</v>
      </c>
      <c r="G18" s="94">
        <f t="shared" si="1"/>
        <v>2860</v>
      </c>
      <c r="H18" s="93">
        <f t="shared" ref="H18:H25" si="4">J18*1.2+400</f>
        <v>3940</v>
      </c>
      <c r="I18" s="93">
        <f t="shared" ref="I18:I25" si="5">K18*1.2+400</f>
        <v>3520</v>
      </c>
      <c r="J18" s="93">
        <v>2950</v>
      </c>
      <c r="K18" s="94">
        <v>2600</v>
      </c>
    </row>
    <row r="19" spans="1:11">
      <c r="A19" s="86">
        <v>3</v>
      </c>
      <c r="B19" s="87" t="s">
        <v>37</v>
      </c>
      <c r="C19" s="88"/>
      <c r="D19" s="92">
        <f t="shared" si="2"/>
        <v>4840</v>
      </c>
      <c r="E19" s="93">
        <f t="shared" si="3"/>
        <v>4360</v>
      </c>
      <c r="F19" s="93">
        <v>3700</v>
      </c>
      <c r="G19" s="94">
        <f t="shared" si="1"/>
        <v>3300</v>
      </c>
      <c r="H19" s="93">
        <f t="shared" si="4"/>
        <v>4480</v>
      </c>
      <c r="I19" s="93">
        <f t="shared" si="5"/>
        <v>4000</v>
      </c>
      <c r="J19" s="93">
        <v>3400</v>
      </c>
      <c r="K19" s="94">
        <v>3000</v>
      </c>
    </row>
    <row r="20" spans="1:11">
      <c r="A20" s="86">
        <v>4</v>
      </c>
      <c r="B20" s="87" t="s">
        <v>38</v>
      </c>
      <c r="C20" s="88"/>
      <c r="D20" s="92">
        <f t="shared" si="2"/>
        <v>5320</v>
      </c>
      <c r="E20" s="93">
        <f t="shared" si="3"/>
        <v>4624</v>
      </c>
      <c r="F20" s="93">
        <v>4100</v>
      </c>
      <c r="G20" s="94">
        <f t="shared" si="1"/>
        <v>3520</v>
      </c>
      <c r="H20" s="93">
        <f t="shared" si="4"/>
        <v>4720</v>
      </c>
      <c r="I20" s="93">
        <f t="shared" si="5"/>
        <v>4240</v>
      </c>
      <c r="J20" s="93">
        <v>3600</v>
      </c>
      <c r="K20" s="94">
        <v>3200</v>
      </c>
    </row>
    <row r="21" spans="1:11">
      <c r="A21" s="86">
        <v>5</v>
      </c>
      <c r="B21" s="87" t="s">
        <v>39</v>
      </c>
      <c r="C21" s="88"/>
      <c r="D21" s="92">
        <f t="shared" si="2"/>
        <v>5920</v>
      </c>
      <c r="E21" s="93">
        <f t="shared" si="3"/>
        <v>5152</v>
      </c>
      <c r="F21" s="93">
        <v>4600</v>
      </c>
      <c r="G21" s="94">
        <f t="shared" si="1"/>
        <v>3960</v>
      </c>
      <c r="H21" s="93">
        <f t="shared" si="4"/>
        <v>5440</v>
      </c>
      <c r="I21" s="93">
        <f t="shared" si="5"/>
        <v>4720</v>
      </c>
      <c r="J21" s="93">
        <v>4200</v>
      </c>
      <c r="K21" s="94">
        <v>3600</v>
      </c>
    </row>
    <row r="22" spans="1:11">
      <c r="A22" s="86">
        <v>6</v>
      </c>
      <c r="B22" s="87" t="s">
        <v>40</v>
      </c>
      <c r="C22" s="88"/>
      <c r="D22" s="92">
        <f t="shared" si="2"/>
        <v>6520</v>
      </c>
      <c r="E22" s="93">
        <f t="shared" si="3"/>
        <v>5680</v>
      </c>
      <c r="F22" s="93">
        <v>5100</v>
      </c>
      <c r="G22" s="94">
        <f t="shared" si="1"/>
        <v>4400</v>
      </c>
      <c r="H22" s="93">
        <f t="shared" si="4"/>
        <v>5920</v>
      </c>
      <c r="I22" s="93">
        <f t="shared" si="5"/>
        <v>5200</v>
      </c>
      <c r="J22" s="93">
        <v>4600</v>
      </c>
      <c r="K22" s="94">
        <v>4000</v>
      </c>
    </row>
    <row r="23" spans="1:11">
      <c r="A23" s="86">
        <v>7</v>
      </c>
      <c r="B23" s="87" t="s">
        <v>41</v>
      </c>
      <c r="C23" s="88"/>
      <c r="D23" s="92">
        <f t="shared" si="2"/>
        <v>8500</v>
      </c>
      <c r="E23" s="93">
        <f t="shared" si="3"/>
        <v>7528</v>
      </c>
      <c r="F23" s="93">
        <v>6750</v>
      </c>
      <c r="G23" s="94">
        <f t="shared" si="1"/>
        <v>5940</v>
      </c>
      <c r="H23" s="93">
        <f t="shared" si="4"/>
        <v>7720</v>
      </c>
      <c r="I23" s="93">
        <f t="shared" si="5"/>
        <v>6880</v>
      </c>
      <c r="J23" s="93">
        <v>6100</v>
      </c>
      <c r="K23" s="94">
        <v>5400</v>
      </c>
    </row>
    <row r="24" spans="1:11">
      <c r="A24" s="86">
        <v>8</v>
      </c>
      <c r="B24" s="87" t="s">
        <v>42</v>
      </c>
      <c r="C24" s="88"/>
      <c r="D24" s="92">
        <f>F24*1.2+800</f>
        <v>10520</v>
      </c>
      <c r="E24" s="93">
        <f>G24*1.2+800</f>
        <v>9512</v>
      </c>
      <c r="F24" s="93">
        <v>8100</v>
      </c>
      <c r="G24" s="94">
        <f t="shared" si="1"/>
        <v>7260</v>
      </c>
      <c r="H24" s="93">
        <f>J24*1.2+800</f>
        <v>9560</v>
      </c>
      <c r="I24" s="93">
        <f>K24*1.2+800</f>
        <v>8720</v>
      </c>
      <c r="J24" s="93">
        <v>7300</v>
      </c>
      <c r="K24" s="94">
        <v>6600</v>
      </c>
    </row>
    <row r="25" ht="15.25" spans="1:11">
      <c r="A25" s="86">
        <v>9</v>
      </c>
      <c r="B25" s="87" t="s">
        <v>43</v>
      </c>
      <c r="C25" s="88"/>
      <c r="D25" s="95">
        <f>F25*1.2+800</f>
        <v>12440</v>
      </c>
      <c r="E25" s="96">
        <f>G25*1.2+800</f>
        <v>11624</v>
      </c>
      <c r="F25" s="96">
        <v>9700</v>
      </c>
      <c r="G25" s="97">
        <f t="shared" si="1"/>
        <v>9020</v>
      </c>
      <c r="H25" s="96">
        <f>J25*1.2+800</f>
        <v>11480</v>
      </c>
      <c r="I25" s="96">
        <f>K25*1.2+800</f>
        <v>10640</v>
      </c>
      <c r="J25" s="96">
        <v>8900</v>
      </c>
      <c r="K25" s="97">
        <v>8200</v>
      </c>
    </row>
    <row r="26" spans="1:11">
      <c r="A26" s="98"/>
      <c r="B26" s="99"/>
      <c r="C26" s="99"/>
      <c r="D26" s="100" t="s">
        <v>26</v>
      </c>
      <c r="E26" s="101"/>
      <c r="F26" s="101"/>
      <c r="G26" s="102"/>
      <c r="H26" s="100" t="s">
        <v>26</v>
      </c>
      <c r="I26" s="101"/>
      <c r="J26" s="101"/>
      <c r="K26" s="102"/>
    </row>
    <row r="27" ht="15.25" spans="1:11">
      <c r="A27" s="98"/>
      <c r="B27" s="99"/>
      <c r="C27" s="99"/>
      <c r="D27" s="103" t="s">
        <v>44</v>
      </c>
      <c r="E27" s="104"/>
      <c r="F27" s="104"/>
      <c r="G27" s="105"/>
      <c r="H27" s="103" t="s">
        <v>45</v>
      </c>
      <c r="I27" s="104"/>
      <c r="J27" s="104"/>
      <c r="K27" s="105"/>
    </row>
    <row r="28" ht="15.25" spans="1:11">
      <c r="A28" s="80" t="s">
        <v>29</v>
      </c>
      <c r="B28" s="81" t="s">
        <v>30</v>
      </c>
      <c r="C28" s="82"/>
      <c r="D28" s="83" t="s">
        <v>31</v>
      </c>
      <c r="E28" s="83" t="s">
        <v>32</v>
      </c>
      <c r="F28" s="83" t="s">
        <v>33</v>
      </c>
      <c r="G28" s="84" t="s">
        <v>34</v>
      </c>
      <c r="H28" s="85" t="s">
        <v>31</v>
      </c>
      <c r="I28" s="83" t="s">
        <v>32</v>
      </c>
      <c r="J28" s="83" t="s">
        <v>33</v>
      </c>
      <c r="K28" s="84" t="s">
        <v>34</v>
      </c>
    </row>
    <row r="29" spans="1:11">
      <c r="A29" s="106">
        <v>1</v>
      </c>
      <c r="B29" s="107" t="s">
        <v>46</v>
      </c>
      <c r="C29" s="108"/>
      <c r="D29" s="100">
        <f t="shared" ref="D29:D40" si="6">F29*1.15+800</f>
        <v>11380</v>
      </c>
      <c r="E29" s="101">
        <f t="shared" ref="E29:E35" si="7">G29*1.2+800</f>
        <v>10400</v>
      </c>
      <c r="F29" s="101">
        <v>9200</v>
      </c>
      <c r="G29" s="102">
        <v>8000</v>
      </c>
      <c r="H29" s="100">
        <f>D29*0.95</f>
        <v>10811</v>
      </c>
      <c r="I29" s="101">
        <f>E29*0.95</f>
        <v>9880</v>
      </c>
      <c r="J29" s="101">
        <f>F29*0.95</f>
        <v>8740</v>
      </c>
      <c r="K29" s="102">
        <f>G29*0.95</f>
        <v>7600</v>
      </c>
    </row>
    <row r="30" spans="1:11">
      <c r="A30" s="106">
        <v>2</v>
      </c>
      <c r="B30" s="107" t="s">
        <v>47</v>
      </c>
      <c r="C30" s="108"/>
      <c r="D30" s="109">
        <f t="shared" si="6"/>
        <v>12070</v>
      </c>
      <c r="E30" s="110">
        <f t="shared" si="7"/>
        <v>11000</v>
      </c>
      <c r="F30" s="111">
        <v>9800</v>
      </c>
      <c r="G30" s="112">
        <v>8500</v>
      </c>
      <c r="H30" s="109">
        <f t="shared" ref="H30:K30" si="8">D30*0.95</f>
        <v>11466.5</v>
      </c>
      <c r="I30" s="111">
        <f t="shared" si="8"/>
        <v>10450</v>
      </c>
      <c r="J30" s="110">
        <f t="shared" si="8"/>
        <v>9310</v>
      </c>
      <c r="K30" s="112">
        <f t="shared" si="8"/>
        <v>8075</v>
      </c>
    </row>
    <row r="31" spans="1:11">
      <c r="A31" s="106">
        <v>3</v>
      </c>
      <c r="B31" s="107" t="s">
        <v>48</v>
      </c>
      <c r="C31" s="108"/>
      <c r="D31" s="109">
        <f t="shared" si="6"/>
        <v>12875</v>
      </c>
      <c r="E31" s="110">
        <f t="shared" si="7"/>
        <v>11600</v>
      </c>
      <c r="F31" s="111">
        <v>10500</v>
      </c>
      <c r="G31" s="112">
        <v>9000</v>
      </c>
      <c r="H31" s="109">
        <f t="shared" ref="H31:K31" si="9">D31*0.95</f>
        <v>12231.25</v>
      </c>
      <c r="I31" s="111">
        <f t="shared" si="9"/>
        <v>11020</v>
      </c>
      <c r="J31" s="110">
        <f t="shared" si="9"/>
        <v>9975</v>
      </c>
      <c r="K31" s="112">
        <f t="shared" si="9"/>
        <v>8550</v>
      </c>
    </row>
    <row r="32" spans="1:11">
      <c r="A32" s="106">
        <v>4</v>
      </c>
      <c r="B32" s="107" t="s">
        <v>49</v>
      </c>
      <c r="C32" s="108"/>
      <c r="D32" s="109">
        <f t="shared" si="6"/>
        <v>13565</v>
      </c>
      <c r="E32" s="110">
        <f t="shared" si="7"/>
        <v>12200</v>
      </c>
      <c r="F32" s="111">
        <v>11100</v>
      </c>
      <c r="G32" s="112">
        <v>9500</v>
      </c>
      <c r="H32" s="109">
        <f t="shared" ref="H32:K32" si="10">D32*0.95</f>
        <v>12886.75</v>
      </c>
      <c r="I32" s="111">
        <f t="shared" si="10"/>
        <v>11590</v>
      </c>
      <c r="J32" s="110">
        <f t="shared" si="10"/>
        <v>10545</v>
      </c>
      <c r="K32" s="112">
        <f t="shared" si="10"/>
        <v>9025</v>
      </c>
    </row>
    <row r="33" spans="1:11">
      <c r="A33" s="106">
        <v>5</v>
      </c>
      <c r="B33" s="107" t="s">
        <v>50</v>
      </c>
      <c r="C33" s="108"/>
      <c r="D33" s="109">
        <f t="shared" si="6"/>
        <v>16900</v>
      </c>
      <c r="E33" s="110">
        <f t="shared" si="7"/>
        <v>14000</v>
      </c>
      <c r="F33" s="111">
        <v>14000</v>
      </c>
      <c r="G33" s="112">
        <v>11000</v>
      </c>
      <c r="H33" s="109">
        <f t="shared" ref="H33:K33" si="11">D33*0.95</f>
        <v>16055</v>
      </c>
      <c r="I33" s="111">
        <f t="shared" si="11"/>
        <v>13300</v>
      </c>
      <c r="J33" s="110">
        <f t="shared" si="11"/>
        <v>13300</v>
      </c>
      <c r="K33" s="112">
        <f t="shared" si="11"/>
        <v>10450</v>
      </c>
    </row>
    <row r="34" spans="1:11">
      <c r="A34" s="106">
        <v>6</v>
      </c>
      <c r="B34" s="107" t="s">
        <v>51</v>
      </c>
      <c r="C34" s="108"/>
      <c r="D34" s="109">
        <f t="shared" si="6"/>
        <v>18050</v>
      </c>
      <c r="E34" s="110">
        <f t="shared" si="7"/>
        <v>15200</v>
      </c>
      <c r="F34" s="111">
        <v>15000</v>
      </c>
      <c r="G34" s="112">
        <v>12000</v>
      </c>
      <c r="H34" s="109">
        <f t="shared" ref="H34:K34" si="12">D34*0.95</f>
        <v>17147.5</v>
      </c>
      <c r="I34" s="111">
        <f t="shared" si="12"/>
        <v>14440</v>
      </c>
      <c r="J34" s="110">
        <f t="shared" si="12"/>
        <v>14250</v>
      </c>
      <c r="K34" s="112">
        <f t="shared" si="12"/>
        <v>11400</v>
      </c>
    </row>
    <row r="35" spans="1:11">
      <c r="A35" s="106">
        <v>7</v>
      </c>
      <c r="B35" s="107" t="s">
        <v>52</v>
      </c>
      <c r="C35" s="108"/>
      <c r="D35" s="109">
        <f t="shared" si="6"/>
        <v>22075</v>
      </c>
      <c r="E35" s="110">
        <f t="shared" si="7"/>
        <v>18800</v>
      </c>
      <c r="F35" s="111">
        <v>18500</v>
      </c>
      <c r="G35" s="112">
        <v>15000</v>
      </c>
      <c r="H35" s="109">
        <f t="shared" ref="H35:K35" si="13">D35*0.95</f>
        <v>20971.25</v>
      </c>
      <c r="I35" s="111">
        <f t="shared" si="13"/>
        <v>17860</v>
      </c>
      <c r="J35" s="110">
        <f t="shared" si="13"/>
        <v>17575</v>
      </c>
      <c r="K35" s="112">
        <f t="shared" si="13"/>
        <v>14250</v>
      </c>
    </row>
    <row r="36" spans="1:11">
      <c r="A36" s="106">
        <v>8</v>
      </c>
      <c r="B36" s="107" t="s">
        <v>53</v>
      </c>
      <c r="C36" s="108"/>
      <c r="D36" s="109">
        <f t="shared" si="6"/>
        <v>31850</v>
      </c>
      <c r="E36" s="110">
        <f>G36*1.2+1000</f>
        <v>28600</v>
      </c>
      <c r="F36" s="111">
        <v>27000</v>
      </c>
      <c r="G36" s="112">
        <v>23000</v>
      </c>
      <c r="H36" s="109">
        <f t="shared" ref="H36:K36" si="14">D36*0.95</f>
        <v>30257.5</v>
      </c>
      <c r="I36" s="111">
        <f t="shared" si="14"/>
        <v>27170</v>
      </c>
      <c r="J36" s="110">
        <f t="shared" si="14"/>
        <v>25650</v>
      </c>
      <c r="K36" s="112">
        <f t="shared" si="14"/>
        <v>21850</v>
      </c>
    </row>
    <row r="37" spans="1:11">
      <c r="A37" s="106">
        <v>9</v>
      </c>
      <c r="B37" s="107" t="s">
        <v>54</v>
      </c>
      <c r="C37" s="108"/>
      <c r="D37" s="109">
        <f t="shared" si="6"/>
        <v>34840</v>
      </c>
      <c r="E37" s="110">
        <f>G37*1.2+1000</f>
        <v>31000</v>
      </c>
      <c r="F37" s="111">
        <v>29600</v>
      </c>
      <c r="G37" s="112">
        <v>25000</v>
      </c>
      <c r="H37" s="109">
        <f t="shared" ref="H37:K37" si="15">D37*0.95</f>
        <v>33098</v>
      </c>
      <c r="I37" s="111">
        <f t="shared" si="15"/>
        <v>29450</v>
      </c>
      <c r="J37" s="110">
        <f t="shared" si="15"/>
        <v>28120</v>
      </c>
      <c r="K37" s="112">
        <f t="shared" si="15"/>
        <v>23750</v>
      </c>
    </row>
    <row r="38" spans="1:11">
      <c r="A38" s="106">
        <v>10</v>
      </c>
      <c r="B38" s="107" t="s">
        <v>55</v>
      </c>
      <c r="C38" s="108"/>
      <c r="D38" s="109">
        <f t="shared" si="6"/>
        <v>38922.5</v>
      </c>
      <c r="E38" s="110">
        <f>G38*1.2+1500</f>
        <v>35100</v>
      </c>
      <c r="F38" s="111">
        <v>33150</v>
      </c>
      <c r="G38" s="112">
        <v>28000</v>
      </c>
      <c r="H38" s="109">
        <f t="shared" ref="H38:K38" si="16">D38*0.95</f>
        <v>36976.375</v>
      </c>
      <c r="I38" s="111">
        <f t="shared" si="16"/>
        <v>33345</v>
      </c>
      <c r="J38" s="110">
        <f t="shared" si="16"/>
        <v>31492.5</v>
      </c>
      <c r="K38" s="112">
        <f t="shared" si="16"/>
        <v>26600</v>
      </c>
    </row>
    <row r="39" spans="1:11">
      <c r="A39" s="106">
        <v>11</v>
      </c>
      <c r="B39" s="107" t="s">
        <v>56</v>
      </c>
      <c r="C39" s="108"/>
      <c r="D39" s="109">
        <f t="shared" si="6"/>
        <v>45650</v>
      </c>
      <c r="E39" s="110">
        <f>G39*1.2+1500</f>
        <v>42300</v>
      </c>
      <c r="F39" s="111">
        <v>39000</v>
      </c>
      <c r="G39" s="112">
        <v>34000</v>
      </c>
      <c r="H39" s="109">
        <f t="shared" ref="H39:K39" si="17">D39*0.95</f>
        <v>43367.5</v>
      </c>
      <c r="I39" s="111">
        <f t="shared" si="17"/>
        <v>40185</v>
      </c>
      <c r="J39" s="110">
        <f t="shared" si="17"/>
        <v>37050</v>
      </c>
      <c r="K39" s="112">
        <f t="shared" si="17"/>
        <v>32300</v>
      </c>
    </row>
    <row r="40" ht="15.25" spans="1:11">
      <c r="A40" s="106">
        <v>12</v>
      </c>
      <c r="B40" s="107" t="s">
        <v>57</v>
      </c>
      <c r="C40" s="108"/>
      <c r="D40" s="103">
        <f t="shared" si="6"/>
        <v>51745</v>
      </c>
      <c r="E40" s="104">
        <f>G40*1.2+1500</f>
        <v>47100</v>
      </c>
      <c r="F40" s="104">
        <v>44300</v>
      </c>
      <c r="G40" s="105">
        <v>38000</v>
      </c>
      <c r="H40" s="103">
        <f t="shared" ref="H40:K40" si="18">D40*0.95</f>
        <v>49157.75</v>
      </c>
      <c r="I40" s="104">
        <f t="shared" si="18"/>
        <v>44745</v>
      </c>
      <c r="J40" s="104">
        <f t="shared" si="18"/>
        <v>42085</v>
      </c>
      <c r="K40" s="105">
        <f t="shared" si="18"/>
        <v>36100</v>
      </c>
    </row>
    <row r="41" spans="1:11">
      <c r="A41" s="113"/>
      <c r="B41" s="114"/>
      <c r="C41" s="115"/>
      <c r="D41" s="116" t="s">
        <v>26</v>
      </c>
      <c r="E41" s="116"/>
      <c r="F41" s="116"/>
      <c r="G41" s="117"/>
      <c r="H41" s="118" t="s">
        <v>26</v>
      </c>
      <c r="I41" s="116"/>
      <c r="J41" s="116"/>
      <c r="K41" s="117"/>
    </row>
    <row r="42" ht="15.25" spans="1:11">
      <c r="A42" s="119"/>
      <c r="B42" s="120"/>
      <c r="C42" s="121"/>
      <c r="D42" s="122" t="s">
        <v>27</v>
      </c>
      <c r="E42" s="122"/>
      <c r="F42" s="122"/>
      <c r="G42" s="123"/>
      <c r="H42" s="122" t="s">
        <v>28</v>
      </c>
      <c r="I42" s="122"/>
      <c r="J42" s="122"/>
      <c r="K42" s="123"/>
    </row>
    <row r="43" ht="15.25" spans="1:11">
      <c r="A43" s="80" t="s">
        <v>29</v>
      </c>
      <c r="B43" s="81" t="s">
        <v>30</v>
      </c>
      <c r="C43" s="82"/>
      <c r="D43" s="83" t="s">
        <v>31</v>
      </c>
      <c r="E43" s="83" t="s">
        <v>32</v>
      </c>
      <c r="F43" s="83" t="s">
        <v>33</v>
      </c>
      <c r="G43" s="84" t="s">
        <v>34</v>
      </c>
      <c r="H43" s="85" t="s">
        <v>31</v>
      </c>
      <c r="I43" s="83" t="s">
        <v>32</v>
      </c>
      <c r="J43" s="83" t="s">
        <v>33</v>
      </c>
      <c r="K43" s="84" t="s">
        <v>34</v>
      </c>
    </row>
    <row r="44" spans="1:11">
      <c r="A44" s="124">
        <v>1</v>
      </c>
      <c r="B44" s="125" t="s">
        <v>58</v>
      </c>
      <c r="C44" s="126"/>
      <c r="D44" s="127">
        <v>1850</v>
      </c>
      <c r="E44" s="128">
        <v>1650</v>
      </c>
      <c r="F44" s="128">
        <f t="shared" ref="F44:F50" si="19">D44*0.8-100</f>
        <v>1380</v>
      </c>
      <c r="G44" s="129">
        <f t="shared" ref="G44:G50" si="20">E44*0.8-100</f>
        <v>1220</v>
      </c>
      <c r="H44" s="127">
        <f t="shared" ref="H44:H52" si="21">D44*0.95</f>
        <v>1757.5</v>
      </c>
      <c r="I44" s="128">
        <f t="shared" ref="I44:I52" si="22">E44*0.95</f>
        <v>1567.5</v>
      </c>
      <c r="J44" s="128">
        <f t="shared" ref="J44:J50" si="23">F44*0.9</f>
        <v>1242</v>
      </c>
      <c r="K44" s="129">
        <f t="shared" ref="K44:K50" si="24">G44*0.9</f>
        <v>1098</v>
      </c>
    </row>
    <row r="45" spans="1:11">
      <c r="A45" s="124">
        <v>2</v>
      </c>
      <c r="B45" s="125" t="s">
        <v>59</v>
      </c>
      <c r="C45" s="126"/>
      <c r="D45" s="130">
        <v>1980</v>
      </c>
      <c r="E45" s="131">
        <v>1770</v>
      </c>
      <c r="F45" s="131">
        <f t="shared" si="19"/>
        <v>1484</v>
      </c>
      <c r="G45" s="132">
        <f t="shared" si="20"/>
        <v>1316</v>
      </c>
      <c r="H45" s="130">
        <f t="shared" si="21"/>
        <v>1881</v>
      </c>
      <c r="I45" s="131">
        <f t="shared" si="22"/>
        <v>1681.5</v>
      </c>
      <c r="J45" s="131">
        <f t="shared" si="23"/>
        <v>1335.6</v>
      </c>
      <c r="K45" s="132">
        <f t="shared" si="24"/>
        <v>1184.4</v>
      </c>
    </row>
    <row r="46" spans="1:11">
      <c r="A46" s="124">
        <v>3</v>
      </c>
      <c r="B46" s="125" t="s">
        <v>60</v>
      </c>
      <c r="C46" s="126"/>
      <c r="D46" s="130">
        <v>2550</v>
      </c>
      <c r="E46" s="131">
        <v>2280</v>
      </c>
      <c r="F46" s="131">
        <f t="shared" si="19"/>
        <v>1940</v>
      </c>
      <c r="G46" s="132">
        <f t="shared" si="20"/>
        <v>1724</v>
      </c>
      <c r="H46" s="130">
        <f t="shared" si="21"/>
        <v>2422.5</v>
      </c>
      <c r="I46" s="131">
        <f t="shared" si="22"/>
        <v>2166</v>
      </c>
      <c r="J46" s="131">
        <f t="shared" si="23"/>
        <v>1746</v>
      </c>
      <c r="K46" s="132">
        <f t="shared" si="24"/>
        <v>1551.6</v>
      </c>
    </row>
    <row r="47" spans="1:11">
      <c r="A47" s="124">
        <v>4</v>
      </c>
      <c r="B47" s="125" t="s">
        <v>61</v>
      </c>
      <c r="C47" s="126"/>
      <c r="D47" s="130">
        <v>2900</v>
      </c>
      <c r="E47" s="131">
        <v>2600</v>
      </c>
      <c r="F47" s="131">
        <f t="shared" si="19"/>
        <v>2220</v>
      </c>
      <c r="G47" s="132">
        <f t="shared" si="20"/>
        <v>1980</v>
      </c>
      <c r="H47" s="130">
        <f t="shared" si="21"/>
        <v>2755</v>
      </c>
      <c r="I47" s="131">
        <f t="shared" si="22"/>
        <v>2470</v>
      </c>
      <c r="J47" s="131">
        <f t="shared" si="23"/>
        <v>1998</v>
      </c>
      <c r="K47" s="132">
        <f t="shared" si="24"/>
        <v>1782</v>
      </c>
    </row>
    <row r="48" spans="1:11">
      <c r="A48" s="124">
        <v>5</v>
      </c>
      <c r="B48" s="125" t="s">
        <v>62</v>
      </c>
      <c r="C48" s="126"/>
      <c r="D48" s="130">
        <v>3600</v>
      </c>
      <c r="E48" s="131">
        <v>3300</v>
      </c>
      <c r="F48" s="131">
        <f t="shared" si="19"/>
        <v>2780</v>
      </c>
      <c r="G48" s="132">
        <f t="shared" si="20"/>
        <v>2540</v>
      </c>
      <c r="H48" s="130">
        <f t="shared" si="21"/>
        <v>3420</v>
      </c>
      <c r="I48" s="131">
        <f t="shared" si="22"/>
        <v>3135</v>
      </c>
      <c r="J48" s="131">
        <f t="shared" si="23"/>
        <v>2502</v>
      </c>
      <c r="K48" s="132">
        <f t="shared" si="24"/>
        <v>2286</v>
      </c>
    </row>
    <row r="49" spans="1:11">
      <c r="A49" s="124">
        <v>6</v>
      </c>
      <c r="B49" s="125" t="s">
        <v>63</v>
      </c>
      <c r="C49" s="126"/>
      <c r="D49" s="130">
        <v>4500</v>
      </c>
      <c r="E49" s="131">
        <v>4200</v>
      </c>
      <c r="F49" s="131">
        <f t="shared" si="19"/>
        <v>3500</v>
      </c>
      <c r="G49" s="132">
        <f t="shared" si="20"/>
        <v>3260</v>
      </c>
      <c r="H49" s="130">
        <f t="shared" si="21"/>
        <v>4275</v>
      </c>
      <c r="I49" s="131">
        <f t="shared" si="22"/>
        <v>3990</v>
      </c>
      <c r="J49" s="131">
        <f t="shared" si="23"/>
        <v>3150</v>
      </c>
      <c r="K49" s="132">
        <f t="shared" si="24"/>
        <v>2934</v>
      </c>
    </row>
    <row r="50" spans="1:11">
      <c r="A50" s="124">
        <v>7</v>
      </c>
      <c r="B50" s="125" t="s">
        <v>64</v>
      </c>
      <c r="C50" s="126"/>
      <c r="D50" s="130">
        <v>5600</v>
      </c>
      <c r="E50" s="133">
        <v>5200</v>
      </c>
      <c r="F50" s="133">
        <f t="shared" si="19"/>
        <v>4380</v>
      </c>
      <c r="G50" s="132">
        <f t="shared" si="20"/>
        <v>4060</v>
      </c>
      <c r="H50" s="130">
        <f t="shared" si="21"/>
        <v>5320</v>
      </c>
      <c r="I50" s="133">
        <f t="shared" si="22"/>
        <v>4940</v>
      </c>
      <c r="J50" s="133">
        <f t="shared" si="23"/>
        <v>3942</v>
      </c>
      <c r="K50" s="132">
        <f t="shared" si="24"/>
        <v>3654</v>
      </c>
    </row>
    <row r="51" spans="1:11">
      <c r="A51" s="124">
        <v>8</v>
      </c>
      <c r="B51" s="125" t="s">
        <v>65</v>
      </c>
      <c r="C51" s="126"/>
      <c r="D51" s="130">
        <f>F51*1.2+400</f>
        <v>6496</v>
      </c>
      <c r="E51" s="131">
        <f>G51*1.2+400</f>
        <v>5776</v>
      </c>
      <c r="F51" s="131">
        <f>G51+600</f>
        <v>5080</v>
      </c>
      <c r="G51" s="132">
        <v>4480</v>
      </c>
      <c r="H51" s="130">
        <f t="shared" si="21"/>
        <v>6171.2</v>
      </c>
      <c r="I51" s="131">
        <f t="shared" si="22"/>
        <v>5487.2</v>
      </c>
      <c r="J51" s="131">
        <f>F51*0.95</f>
        <v>4826</v>
      </c>
      <c r="K51" s="132">
        <f>G51*0.95</f>
        <v>4256</v>
      </c>
    </row>
    <row r="52" ht="15.25" spans="1:11">
      <c r="A52" s="124">
        <v>9</v>
      </c>
      <c r="B52" s="125" t="s">
        <v>66</v>
      </c>
      <c r="C52" s="126"/>
      <c r="D52" s="134">
        <f>F52*1.2+400</f>
        <v>7840</v>
      </c>
      <c r="E52" s="135">
        <f>G52*1.2+400</f>
        <v>7000</v>
      </c>
      <c r="F52" s="135">
        <f>G52+700</f>
        <v>6200</v>
      </c>
      <c r="G52" s="136">
        <v>5500</v>
      </c>
      <c r="H52" s="134">
        <f t="shared" si="21"/>
        <v>7448</v>
      </c>
      <c r="I52" s="135">
        <f t="shared" si="22"/>
        <v>6650</v>
      </c>
      <c r="J52" s="135">
        <f t="shared" ref="J52:J71" si="25">F52*0.95</f>
        <v>5890</v>
      </c>
      <c r="K52" s="136">
        <f t="shared" ref="K52:K71" si="26">G52*0.95</f>
        <v>5225</v>
      </c>
    </row>
    <row r="53" spans="1:11">
      <c r="A53" s="137"/>
      <c r="B53" s="138"/>
      <c r="C53" s="138"/>
      <c r="D53" s="139" t="s">
        <v>26</v>
      </c>
      <c r="E53" s="140"/>
      <c r="F53" s="140"/>
      <c r="G53" s="141"/>
      <c r="H53" s="139" t="s">
        <v>26</v>
      </c>
      <c r="I53" s="140"/>
      <c r="J53" s="140"/>
      <c r="K53" s="141"/>
    </row>
    <row r="54" ht="15.25" spans="1:11">
      <c r="A54" s="137"/>
      <c r="B54" s="138"/>
      <c r="C54" s="138"/>
      <c r="D54" s="142" t="s">
        <v>44</v>
      </c>
      <c r="E54" s="143"/>
      <c r="F54" s="143"/>
      <c r="G54" s="144"/>
      <c r="H54" s="142" t="s">
        <v>45</v>
      </c>
      <c r="I54" s="143"/>
      <c r="J54" s="143"/>
      <c r="K54" s="144"/>
    </row>
    <row r="55" ht="15.25" spans="1:11">
      <c r="A55" s="80" t="s">
        <v>29</v>
      </c>
      <c r="B55" s="81" t="s">
        <v>30</v>
      </c>
      <c r="C55" s="82"/>
      <c r="D55" s="83" t="s">
        <v>31</v>
      </c>
      <c r="E55" s="83" t="s">
        <v>32</v>
      </c>
      <c r="F55" s="83" t="s">
        <v>33</v>
      </c>
      <c r="G55" s="84" t="s">
        <v>34</v>
      </c>
      <c r="H55" s="85" t="s">
        <v>31</v>
      </c>
      <c r="I55" s="83" t="s">
        <v>32</v>
      </c>
      <c r="J55" s="83" t="s">
        <v>33</v>
      </c>
      <c r="K55" s="84" t="s">
        <v>34</v>
      </c>
    </row>
    <row r="56" ht="15.25" spans="1:11">
      <c r="A56" s="145">
        <v>1</v>
      </c>
      <c r="B56" s="146" t="s">
        <v>67</v>
      </c>
      <c r="C56" s="147"/>
      <c r="D56" s="139">
        <v>7300</v>
      </c>
      <c r="E56" s="140">
        <v>5570</v>
      </c>
      <c r="F56" s="140">
        <v>5280</v>
      </c>
      <c r="G56" s="141">
        <v>3900</v>
      </c>
      <c r="H56" s="139">
        <f t="shared" ref="H56:H71" si="27">D56*0.95</f>
        <v>6935</v>
      </c>
      <c r="I56" s="140">
        <f t="shared" ref="I56:I71" si="28">E56*0.95</f>
        <v>5291.5</v>
      </c>
      <c r="J56" s="140">
        <f t="shared" si="25"/>
        <v>5016</v>
      </c>
      <c r="K56" s="141">
        <f t="shared" si="26"/>
        <v>3705</v>
      </c>
    </row>
    <row r="57" ht="15.25" spans="1:11">
      <c r="A57" s="145">
        <v>2</v>
      </c>
      <c r="B57" s="146" t="s">
        <v>68</v>
      </c>
      <c r="C57" s="147"/>
      <c r="D57" s="148">
        <v>8600</v>
      </c>
      <c r="E57" s="149">
        <v>6720</v>
      </c>
      <c r="F57" s="149">
        <v>6360</v>
      </c>
      <c r="G57" s="150">
        <v>4800</v>
      </c>
      <c r="H57" s="139">
        <f t="shared" si="27"/>
        <v>8170</v>
      </c>
      <c r="I57" s="140">
        <f t="shared" si="28"/>
        <v>6384</v>
      </c>
      <c r="J57" s="140">
        <f t="shared" si="25"/>
        <v>6042</v>
      </c>
      <c r="K57" s="141">
        <f t="shared" si="26"/>
        <v>4560</v>
      </c>
    </row>
    <row r="58" ht="15.25" spans="1:11">
      <c r="A58" s="145">
        <v>3</v>
      </c>
      <c r="B58" s="146" t="s">
        <v>69</v>
      </c>
      <c r="C58" s="147"/>
      <c r="D58" s="148">
        <v>10800</v>
      </c>
      <c r="E58" s="149">
        <v>8600</v>
      </c>
      <c r="F58" s="149">
        <v>8160</v>
      </c>
      <c r="G58" s="150">
        <v>6360</v>
      </c>
      <c r="H58" s="139">
        <f t="shared" si="27"/>
        <v>10260</v>
      </c>
      <c r="I58" s="140">
        <f t="shared" si="28"/>
        <v>8170</v>
      </c>
      <c r="J58" s="140">
        <f t="shared" si="25"/>
        <v>7752</v>
      </c>
      <c r="K58" s="141">
        <f t="shared" si="26"/>
        <v>6042</v>
      </c>
    </row>
    <row r="59" ht="15.25" spans="1:11">
      <c r="A59" s="145">
        <v>4</v>
      </c>
      <c r="B59" s="146" t="s">
        <v>70</v>
      </c>
      <c r="C59" s="147"/>
      <c r="D59" s="148">
        <v>12000</v>
      </c>
      <c r="E59" s="149">
        <v>9600</v>
      </c>
      <c r="F59" s="149">
        <v>9120</v>
      </c>
      <c r="G59" s="150">
        <v>7200</v>
      </c>
      <c r="H59" s="139">
        <f t="shared" si="27"/>
        <v>11400</v>
      </c>
      <c r="I59" s="140">
        <f t="shared" si="28"/>
        <v>9120</v>
      </c>
      <c r="J59" s="140">
        <f t="shared" si="25"/>
        <v>8664</v>
      </c>
      <c r="K59" s="141">
        <f t="shared" si="26"/>
        <v>6840</v>
      </c>
    </row>
    <row r="60" ht="15.25" spans="1:11">
      <c r="A60" s="145">
        <v>5</v>
      </c>
      <c r="B60" s="146" t="s">
        <v>71</v>
      </c>
      <c r="C60" s="147"/>
      <c r="D60" s="148">
        <v>15000</v>
      </c>
      <c r="E60" s="149">
        <v>10880</v>
      </c>
      <c r="F60" s="149">
        <v>11520</v>
      </c>
      <c r="G60" s="150">
        <v>8160</v>
      </c>
      <c r="H60" s="139">
        <f t="shared" si="27"/>
        <v>14250</v>
      </c>
      <c r="I60" s="140">
        <f t="shared" si="28"/>
        <v>10336</v>
      </c>
      <c r="J60" s="140">
        <f t="shared" si="25"/>
        <v>10944</v>
      </c>
      <c r="K60" s="141">
        <f t="shared" si="26"/>
        <v>7752</v>
      </c>
    </row>
    <row r="61" ht="15.25" spans="1:11">
      <c r="A61" s="145">
        <v>6</v>
      </c>
      <c r="B61" s="146" t="s">
        <v>72</v>
      </c>
      <c r="C61" s="147"/>
      <c r="D61" s="148">
        <v>16500</v>
      </c>
      <c r="E61" s="149">
        <v>12200</v>
      </c>
      <c r="F61" s="149">
        <v>12850</v>
      </c>
      <c r="G61" s="150">
        <v>9240</v>
      </c>
      <c r="H61" s="139">
        <f t="shared" si="27"/>
        <v>15675</v>
      </c>
      <c r="I61" s="140">
        <f t="shared" si="28"/>
        <v>11590</v>
      </c>
      <c r="J61" s="140">
        <f t="shared" si="25"/>
        <v>12207.5</v>
      </c>
      <c r="K61" s="141">
        <f t="shared" si="26"/>
        <v>8778</v>
      </c>
    </row>
    <row r="62" ht="15.25" spans="1:11">
      <c r="A62" s="145">
        <v>7</v>
      </c>
      <c r="B62" s="146" t="s">
        <v>73</v>
      </c>
      <c r="C62" s="147"/>
      <c r="D62" s="148">
        <v>20800</v>
      </c>
      <c r="E62" s="149">
        <v>16000</v>
      </c>
      <c r="F62" s="149">
        <v>16500</v>
      </c>
      <c r="G62" s="150">
        <v>12360</v>
      </c>
      <c r="H62" s="139">
        <f t="shared" si="27"/>
        <v>19760</v>
      </c>
      <c r="I62" s="140">
        <f t="shared" si="28"/>
        <v>15200</v>
      </c>
      <c r="J62" s="140">
        <f t="shared" si="25"/>
        <v>15675</v>
      </c>
      <c r="K62" s="141">
        <f t="shared" si="26"/>
        <v>11742</v>
      </c>
    </row>
    <row r="63" ht="15.25" spans="1:11">
      <c r="A63" s="145">
        <v>8</v>
      </c>
      <c r="B63" s="146" t="s">
        <v>74</v>
      </c>
      <c r="C63" s="147"/>
      <c r="D63" s="148">
        <v>27600</v>
      </c>
      <c r="E63" s="149">
        <v>22000</v>
      </c>
      <c r="F63" s="149">
        <v>22000</v>
      </c>
      <c r="G63" s="150">
        <v>17280</v>
      </c>
      <c r="H63" s="139">
        <f t="shared" si="27"/>
        <v>26220</v>
      </c>
      <c r="I63" s="140">
        <f t="shared" si="28"/>
        <v>20900</v>
      </c>
      <c r="J63" s="140">
        <f t="shared" si="25"/>
        <v>20900</v>
      </c>
      <c r="K63" s="141">
        <f t="shared" si="26"/>
        <v>16416</v>
      </c>
    </row>
    <row r="64" ht="15.25" spans="1:11">
      <c r="A64" s="145">
        <v>9</v>
      </c>
      <c r="B64" s="146" t="s">
        <v>75</v>
      </c>
      <c r="C64" s="147"/>
      <c r="D64" s="148">
        <v>32000</v>
      </c>
      <c r="E64" s="149">
        <v>25500</v>
      </c>
      <c r="F64" s="149">
        <v>25200</v>
      </c>
      <c r="G64" s="150">
        <v>19680</v>
      </c>
      <c r="H64" s="139">
        <f t="shared" si="27"/>
        <v>30400</v>
      </c>
      <c r="I64" s="140">
        <f t="shared" si="28"/>
        <v>24225</v>
      </c>
      <c r="J64" s="140">
        <f t="shared" si="25"/>
        <v>23940</v>
      </c>
      <c r="K64" s="141">
        <f t="shared" si="26"/>
        <v>18696</v>
      </c>
    </row>
    <row r="65" ht="15.25" spans="1:11">
      <c r="A65" s="145">
        <v>10</v>
      </c>
      <c r="B65" s="146" t="s">
        <v>76</v>
      </c>
      <c r="C65" s="147"/>
      <c r="D65" s="148">
        <v>39700</v>
      </c>
      <c r="E65" s="149">
        <v>32200</v>
      </c>
      <c r="F65" s="149">
        <v>31500</v>
      </c>
      <c r="G65" s="150">
        <v>25300</v>
      </c>
      <c r="H65" s="139">
        <f t="shared" si="27"/>
        <v>37715</v>
      </c>
      <c r="I65" s="140">
        <f t="shared" si="28"/>
        <v>30590</v>
      </c>
      <c r="J65" s="140">
        <f t="shared" si="25"/>
        <v>29925</v>
      </c>
      <c r="K65" s="141">
        <f t="shared" si="26"/>
        <v>24035</v>
      </c>
    </row>
    <row r="66" ht="15.25" spans="1:11">
      <c r="A66" s="145">
        <v>11</v>
      </c>
      <c r="B66" s="146" t="s">
        <v>77</v>
      </c>
      <c r="C66" s="147"/>
      <c r="D66" s="148">
        <v>49200</v>
      </c>
      <c r="E66" s="149">
        <v>41000</v>
      </c>
      <c r="F66" s="149">
        <v>39500</v>
      </c>
      <c r="G66" s="150">
        <v>32600</v>
      </c>
      <c r="H66" s="139">
        <f t="shared" si="27"/>
        <v>46740</v>
      </c>
      <c r="I66" s="140">
        <f t="shared" si="28"/>
        <v>38950</v>
      </c>
      <c r="J66" s="140">
        <f t="shared" si="25"/>
        <v>37525</v>
      </c>
      <c r="K66" s="141">
        <f t="shared" si="26"/>
        <v>30970</v>
      </c>
    </row>
    <row r="67" ht="15.25" spans="1:11">
      <c r="A67" s="145">
        <v>12</v>
      </c>
      <c r="B67" s="146" t="s">
        <v>78</v>
      </c>
      <c r="C67" s="147"/>
      <c r="D67" s="148">
        <v>54700</v>
      </c>
      <c r="E67" s="149">
        <v>45600</v>
      </c>
      <c r="F67" s="149">
        <v>43560</v>
      </c>
      <c r="G67" s="150">
        <v>36000</v>
      </c>
      <c r="H67" s="139">
        <f t="shared" si="27"/>
        <v>51965</v>
      </c>
      <c r="I67" s="140">
        <f t="shared" si="28"/>
        <v>43320</v>
      </c>
      <c r="J67" s="140">
        <f t="shared" si="25"/>
        <v>41382</v>
      </c>
      <c r="K67" s="141">
        <f t="shared" si="26"/>
        <v>34200</v>
      </c>
    </row>
    <row r="68" ht="15.25" spans="1:11">
      <c r="A68" s="145">
        <v>13</v>
      </c>
      <c r="B68" s="146" t="s">
        <v>79</v>
      </c>
      <c r="C68" s="147"/>
      <c r="D68" s="148">
        <v>68160</v>
      </c>
      <c r="E68" s="149">
        <v>56600</v>
      </c>
      <c r="F68" s="149">
        <v>52800</v>
      </c>
      <c r="G68" s="150">
        <v>43200</v>
      </c>
      <c r="H68" s="139">
        <f t="shared" si="27"/>
        <v>64752</v>
      </c>
      <c r="I68" s="140">
        <f t="shared" si="28"/>
        <v>53770</v>
      </c>
      <c r="J68" s="140">
        <f t="shared" si="25"/>
        <v>50160</v>
      </c>
      <c r="K68" s="141">
        <f t="shared" si="26"/>
        <v>41040</v>
      </c>
    </row>
    <row r="69" ht="15.25" spans="1:11">
      <c r="A69" s="145">
        <v>14</v>
      </c>
      <c r="B69" s="146" t="s">
        <v>80</v>
      </c>
      <c r="C69" s="147"/>
      <c r="D69" s="148">
        <v>69600</v>
      </c>
      <c r="E69" s="149">
        <v>58000</v>
      </c>
      <c r="F69" s="149">
        <v>54000</v>
      </c>
      <c r="G69" s="150">
        <v>44650</v>
      </c>
      <c r="H69" s="139">
        <f t="shared" si="27"/>
        <v>66120</v>
      </c>
      <c r="I69" s="140">
        <f t="shared" si="28"/>
        <v>55100</v>
      </c>
      <c r="J69" s="140">
        <f t="shared" si="25"/>
        <v>51300</v>
      </c>
      <c r="K69" s="141">
        <f t="shared" si="26"/>
        <v>42417.5</v>
      </c>
    </row>
    <row r="70" ht="15.25" spans="1:11">
      <c r="A70" s="145">
        <v>15</v>
      </c>
      <c r="B70" s="146" t="s">
        <v>81</v>
      </c>
      <c r="C70" s="147"/>
      <c r="D70" s="148">
        <v>96500</v>
      </c>
      <c r="E70" s="149">
        <v>81360</v>
      </c>
      <c r="F70" s="149">
        <v>74400</v>
      </c>
      <c r="G70" s="150">
        <v>61800</v>
      </c>
      <c r="H70" s="139">
        <f t="shared" si="27"/>
        <v>91675</v>
      </c>
      <c r="I70" s="140">
        <f t="shared" si="28"/>
        <v>77292</v>
      </c>
      <c r="J70" s="140">
        <f t="shared" si="25"/>
        <v>70680</v>
      </c>
      <c r="K70" s="141">
        <f t="shared" si="26"/>
        <v>58710</v>
      </c>
    </row>
    <row r="71" ht="15.25" spans="1:11">
      <c r="A71" s="145">
        <v>16</v>
      </c>
      <c r="B71" s="146" t="s">
        <v>82</v>
      </c>
      <c r="C71" s="147"/>
      <c r="D71" s="142">
        <v>120000</v>
      </c>
      <c r="E71" s="143">
        <v>106000</v>
      </c>
      <c r="F71" s="143">
        <v>96000</v>
      </c>
      <c r="G71" s="144">
        <v>82320</v>
      </c>
      <c r="H71" s="139">
        <f t="shared" si="27"/>
        <v>114000</v>
      </c>
      <c r="I71" s="140">
        <f t="shared" si="28"/>
        <v>100700</v>
      </c>
      <c r="J71" s="140">
        <f t="shared" si="25"/>
        <v>91200</v>
      </c>
      <c r="K71" s="141">
        <f t="shared" si="26"/>
        <v>78204</v>
      </c>
    </row>
    <row r="72" spans="1:11">
      <c r="A72" s="151" t="s">
        <v>83</v>
      </c>
      <c r="J72" s="152"/>
    </row>
    <row r="73" spans="1:11">
      <c r="I73" s="153"/>
      <c r="J73" s="153"/>
    </row>
    <row r="74" spans="1:11">
      <c r="I74" s="153"/>
      <c r="J74" s="153"/>
    </row>
    <row r="75" spans="1:11">
      <c r="A75" s="151" t="s">
        <v>84</v>
      </c>
      <c r="I75" s="153"/>
      <c r="J75" s="153"/>
    </row>
    <row r="76" spans="1:11">
      <c r="A76" s="1" t="s">
        <v>85</v>
      </c>
      <c r="I76" s="153"/>
      <c r="J76" s="153"/>
    </row>
    <row r="77" spans="1:11">
      <c r="A77" s="1" t="s">
        <v>86</v>
      </c>
      <c r="I77" s="153"/>
      <c r="J77" s="153"/>
    </row>
    <row r="78" spans="1:11">
      <c r="I78" s="153"/>
      <c r="J78" s="153"/>
    </row>
    <row r="79" spans="1:11">
      <c r="A79" s="1" t="s">
        <v>87</v>
      </c>
      <c r="I79" s="153"/>
      <c r="J79" s="153"/>
    </row>
    <row r="80" spans="1:11">
      <c r="A80" s="1" t="s">
        <v>88</v>
      </c>
      <c r="I80" s="153"/>
      <c r="J80" s="153"/>
    </row>
    <row r="81" spans="9:10">
      <c r="I81" s="153"/>
      <c r="J81" s="153"/>
    </row>
    <row r="82" spans="9:10">
      <c r="I82" s="153"/>
      <c r="J82" s="153"/>
    </row>
    <row r="83" spans="9:10">
      <c r="I83" s="153"/>
      <c r="J83" s="153"/>
    </row>
    <row r="84" spans="9:10">
      <c r="I84" s="153"/>
      <c r="J84" s="153"/>
    </row>
    <row r="85" spans="9:10">
      <c r="I85" s="153"/>
      <c r="J85" s="153"/>
    </row>
    <row r="86" spans="9:10">
      <c r="I86" s="153"/>
      <c r="J86" s="153"/>
    </row>
    <row r="87" spans="9:10">
      <c r="I87" s="153"/>
      <c r="J87" s="153"/>
    </row>
    <row r="88" spans="9:10">
      <c r="I88" s="153"/>
      <c r="J88" s="153"/>
    </row>
  </sheetData>
  <mergeCells count="112">
    <mergeCell ref="A1:AF1"/>
    <mergeCell ref="B2:G2"/>
    <mergeCell ref="H2:Z2"/>
    <mergeCell ref="AA2:AH2"/>
    <mergeCell ref="B7:C7"/>
    <mergeCell ref="D7:G7"/>
    <mergeCell ref="H7:I7"/>
    <mergeCell ref="J7:Q7"/>
    <mergeCell ref="R7:S7"/>
    <mergeCell ref="T7:Z7"/>
    <mergeCell ref="AA7:AC7"/>
    <mergeCell ref="AD7:AH7"/>
    <mergeCell ref="B9:G9"/>
    <mergeCell ref="H9:Z9"/>
    <mergeCell ref="AA9:AH9"/>
    <mergeCell ref="I10:J10"/>
    <mergeCell ref="L10:M10"/>
    <mergeCell ref="N10:O10"/>
    <mergeCell ref="P10:Q10"/>
    <mergeCell ref="R10:S10"/>
    <mergeCell ref="T10:U10"/>
    <mergeCell ref="V10:W10"/>
    <mergeCell ref="I11:J11"/>
    <mergeCell ref="L11:M11"/>
    <mergeCell ref="N11:O11"/>
    <mergeCell ref="P11:Q11"/>
    <mergeCell ref="R11:S11"/>
    <mergeCell ref="T11:U11"/>
    <mergeCell ref="V11:W11"/>
    <mergeCell ref="I12:J12"/>
    <mergeCell ref="L12:M12"/>
    <mergeCell ref="N12:O12"/>
    <mergeCell ref="P12:Q12"/>
    <mergeCell ref="R12:S12"/>
    <mergeCell ref="T12:U12"/>
    <mergeCell ref="V12:W12"/>
    <mergeCell ref="I13:J13"/>
    <mergeCell ref="L13:M13"/>
    <mergeCell ref="N13:O13"/>
    <mergeCell ref="P13:Q13"/>
    <mergeCell ref="R13:S13"/>
    <mergeCell ref="T13:U13"/>
    <mergeCell ref="V13:W13"/>
    <mergeCell ref="D14:G14"/>
    <mergeCell ref="H14:K14"/>
    <mergeCell ref="D15:G15"/>
    <mergeCell ref="H15:K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D26:G26"/>
    <mergeCell ref="H26:K26"/>
    <mergeCell ref="D27:G27"/>
    <mergeCell ref="H27:K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D41:G41"/>
    <mergeCell ref="H41:K41"/>
    <mergeCell ref="D42:G42"/>
    <mergeCell ref="H42:K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D53:G53"/>
    <mergeCell ref="H53:K53"/>
    <mergeCell ref="D54:G54"/>
    <mergeCell ref="H54:K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A26:C27"/>
    <mergeCell ref="A41:C42"/>
    <mergeCell ref="A53:C5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有的放矢</cp:lastModifiedBy>
  <dcterms:created xsi:type="dcterms:W3CDTF">2014-01-14T12:06:00Z</dcterms:created>
  <dcterms:modified xsi:type="dcterms:W3CDTF">2026-05-13T05:47:32Z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8589BDB5570A4817A89889FADF73B30B_13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