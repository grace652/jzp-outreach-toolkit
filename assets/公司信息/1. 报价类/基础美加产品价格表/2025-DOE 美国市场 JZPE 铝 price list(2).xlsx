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<sst xmlns="http://schemas.openxmlformats.org/spreadsheetml/2006/main" count="130" uniqueCount="79">
  <si>
    <t>Single Phase Pad-Mounted</t>
  </si>
  <si>
    <t>Three Phase Pad-Mounted</t>
  </si>
  <si>
    <t>Single Phase Pole-Mounted</t>
  </si>
  <si>
    <t>Item Number</t>
  </si>
  <si>
    <t>KVA Size</t>
  </si>
  <si>
    <t>37-1/2</t>
  </si>
  <si>
    <t>112-1/2</t>
  </si>
  <si>
    <t>Sec. Voltage</t>
  </si>
  <si>
    <t>240/120</t>
  </si>
  <si>
    <t>208/120</t>
  </si>
  <si>
    <t>480/277</t>
  </si>
  <si>
    <t>240/480</t>
  </si>
  <si>
    <t>Leadtime ARO (wks)</t>
  </si>
  <si>
    <t>Impedance Z%</t>
  </si>
  <si>
    <t>1.5%-2.5%</t>
  </si>
  <si>
    <t>1.7%-3.0%</t>
  </si>
  <si>
    <t>2.7%-3.5%</t>
  </si>
  <si>
    <t>3.1%-4.5%</t>
  </si>
  <si>
    <t>4.5%-5.5%</t>
  </si>
  <si>
    <t>Net Weight (Lbs)</t>
  </si>
  <si>
    <t>Temp Rise at Rated kVA</t>
  </si>
  <si>
    <t>65K</t>
  </si>
  <si>
    <t>Max % Reg at Rated kVA,       100% Power Factor</t>
  </si>
  <si>
    <t>Max % Reg at Rated kVA,         85% Power Factor</t>
  </si>
  <si>
    <t>No-Load Loss (kW)</t>
  </si>
  <si>
    <t>Load Loss (kW)</t>
  </si>
  <si>
    <t xml:space="preserve">HV - 12KV  AL-AL </t>
  </si>
  <si>
    <r>
      <rPr>
        <sz val="11"/>
        <color theme="1"/>
        <rFont val="Calibri"/>
        <charset val="134"/>
      </rPr>
      <t>1-10</t>
    </r>
    <r>
      <rPr>
        <sz val="11"/>
        <color theme="1"/>
        <rFont val="宋体"/>
        <charset val="134"/>
      </rPr>
      <t>台的价格</t>
    </r>
  </si>
  <si>
    <r>
      <rPr>
        <sz val="11"/>
        <color theme="1"/>
        <rFont val="Calibri"/>
        <charset val="134"/>
      </rPr>
      <t>10</t>
    </r>
    <r>
      <rPr>
        <sz val="11"/>
        <color theme="1"/>
        <rFont val="宋体"/>
        <charset val="134"/>
      </rPr>
      <t>台以上的价格</t>
    </r>
  </si>
  <si>
    <t>LINE</t>
  </si>
  <si>
    <t>DESCRIPTION</t>
  </si>
  <si>
    <t>(DDP) FR3</t>
  </si>
  <si>
    <t>(DDP) MINERAL</t>
  </si>
  <si>
    <t>(FOB) FR3</t>
  </si>
  <si>
    <t>(FOB) MINERAL</t>
  </si>
  <si>
    <t>25KVA, PAD, 1P, 240/120</t>
  </si>
  <si>
    <t>37-1/2, PAD, 1P, 240/120</t>
  </si>
  <si>
    <t>50KVA, PAD, 1P, 240/120</t>
  </si>
  <si>
    <t>75KVA, PAD, 1P, 240/120</t>
  </si>
  <si>
    <t>100KVA, PAD, 1P, 240/120</t>
  </si>
  <si>
    <t>167KVA, PAD, 1P, 240/120</t>
  </si>
  <si>
    <t>250KVA, PAD, 1P, 240/120</t>
  </si>
  <si>
    <t>333KVA, PAD, 1P, 240/120</t>
  </si>
  <si>
    <r>
      <rPr>
        <sz val="11"/>
        <color theme="1"/>
        <rFont val="Calibri"/>
        <charset val="134"/>
      </rPr>
      <t>1-5</t>
    </r>
    <r>
      <rPr>
        <sz val="11"/>
        <color theme="1"/>
        <rFont val="宋体"/>
        <charset val="134"/>
      </rPr>
      <t>台的价格</t>
    </r>
  </si>
  <si>
    <t>5台以上的价格</t>
  </si>
  <si>
    <t xml:space="preserve"> 45KVA, PAD, 3P, 208/120</t>
  </si>
  <si>
    <t xml:space="preserve"> 75KVA, PAD, 3P, 208/120</t>
  </si>
  <si>
    <t xml:space="preserve"> 75KVA, PAD, 3P, 480/277</t>
  </si>
  <si>
    <t xml:space="preserve"> 112KVA, PAD, 3P, 208/120</t>
  </si>
  <si>
    <t xml:space="preserve"> 150KVA, PAD, 3P, 208/120</t>
  </si>
  <si>
    <t xml:space="preserve"> 150KVA, PAD, 3P, 480/277</t>
  </si>
  <si>
    <t xml:space="preserve"> 225KVA, PAD, 3P, 208/120</t>
  </si>
  <si>
    <t xml:space="preserve"> 225KVA, PAD, 3P, 480/277</t>
  </si>
  <si>
    <t xml:space="preserve"> 300KVA, PAD, 3P, 208/120</t>
  </si>
  <si>
    <t xml:space="preserve"> 300KVA, PAD, 3P, 480/277</t>
  </si>
  <si>
    <t xml:space="preserve"> 500KVA, PAD, 3P, 208/120</t>
  </si>
  <si>
    <t xml:space="preserve"> 500KVA, PAD, 3P, 480/277</t>
  </si>
  <si>
    <t xml:space="preserve"> 750KVA, PAD, 3P, 208/120</t>
  </si>
  <si>
    <t xml:space="preserve"> 750KVA, PAD, 3P, 480/277</t>
  </si>
  <si>
    <t>1000KVA, PAD, 3P, 208/120</t>
  </si>
  <si>
    <t>1000KVA, PAD, 3P, 480/277</t>
  </si>
  <si>
    <t>1500KVA, PAD, 3P, 480/277</t>
  </si>
  <si>
    <t>2000KVA, PAD, 3P, 480/277</t>
  </si>
  <si>
    <t>2500KVA, PAD, 3P, 480/277</t>
  </si>
  <si>
    <t>3000KVA,PAD, 3P, 480/277</t>
  </si>
  <si>
    <t>3500KVA,PAD, 3P, 480/277</t>
  </si>
  <si>
    <t>4000KVA,PAD, 3P, 480/277</t>
  </si>
  <si>
    <t>4500KVA,PAD, 3P, 480/277</t>
  </si>
  <si>
    <t>5000kVA,PAD, 3P, 480/277</t>
  </si>
  <si>
    <t>15KVA, POLE, 1P, 120/240</t>
  </si>
  <si>
    <t>25KVA, POLE, 1P, 120/240</t>
  </si>
  <si>
    <t>37.5KVA, POLE, 1P, 120/240</t>
  </si>
  <si>
    <t>50KVA, POLE, 1P, 120/240</t>
  </si>
  <si>
    <t>75KVA, POLE, 1P, 120/240</t>
  </si>
  <si>
    <t>75KVA, POLE, 1P, 240/480</t>
  </si>
  <si>
    <t>100KVA, POLE, 1P, 120/240</t>
  </si>
  <si>
    <t>167KVA, POLE, 1P, 120/240</t>
  </si>
  <si>
    <t>250KVA, POLE, 1P, 120/240</t>
  </si>
  <si>
    <t>333KVA, POLE, 1P, 120/240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</si>
</sst>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;\-\$#,##0"/>
  </numFmts>
  <fonts count="25">
    <font>
      <sz val="12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3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3" applyNumberFormat="0" applyFill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3" fillId="0" borderId="3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35" applyNumberFormat="0" applyAlignment="0" applyProtection="0">
      <alignment vertical="center"/>
    </xf>
    <xf numFmtId="0" fontId="15" fillId="12" borderId="36" applyNumberFormat="0" applyAlignment="0" applyProtection="0">
      <alignment vertical="center"/>
    </xf>
    <xf numFmtId="0" fontId="16" fillId="12" borderId="35" applyNumberFormat="0" applyAlignment="0" applyProtection="0">
      <alignment vertical="center"/>
    </xf>
    <xf numFmtId="0" fontId="17" fillId="13" borderId="37" applyNumberFormat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9" fillId="0" borderId="39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49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10" fontId="3" fillId="4" borderId="14" xfId="0" applyNumberFormat="1" applyFont="1" applyFill="1" applyBorder="1" applyAlignment="1">
      <alignment horizontal="center" vertical="center"/>
    </xf>
    <xf numFmtId="10" fontId="3" fillId="4" borderId="12" xfId="0" applyNumberFormat="1" applyFont="1" applyFill="1" applyBorder="1" applyAlignment="1">
      <alignment horizontal="center" vertical="center"/>
    </xf>
    <xf numFmtId="10" fontId="3" fillId="4" borderId="13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0" fontId="3" fillId="3" borderId="8" xfId="0" applyNumberFormat="1" applyFont="1" applyFill="1" applyBorder="1" applyAlignment="1">
      <alignment horizontal="center" vertical="center"/>
    </xf>
    <xf numFmtId="10" fontId="3" fillId="4" borderId="8" xfId="0" applyNumberFormat="1" applyFont="1" applyFill="1" applyBorder="1" applyAlignment="1">
      <alignment horizontal="center" vertical="center" wrapText="1"/>
    </xf>
    <xf numFmtId="10" fontId="3" fillId="4" borderId="11" xfId="0" applyNumberFormat="1" applyFont="1" applyFill="1" applyBorder="1" applyAlignment="1">
      <alignment horizontal="center" vertical="center"/>
    </xf>
    <xf numFmtId="10" fontId="3" fillId="4" borderId="9" xfId="0" applyNumberFormat="1" applyFont="1" applyFill="1" applyBorder="1" applyAlignment="1">
      <alignment horizontal="center" vertical="center"/>
    </xf>
    <xf numFmtId="10" fontId="3" fillId="4" borderId="10" xfId="0" applyNumberFormat="1" applyFont="1" applyFill="1" applyBorder="1" applyAlignment="1">
      <alignment horizontal="center" vertical="center"/>
    </xf>
    <xf numFmtId="10" fontId="3" fillId="5" borderId="8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vertical="center"/>
    </xf>
    <xf numFmtId="0" fontId="1" fillId="6" borderId="21" xfId="0" applyFont="1" applyFill="1" applyBorder="1" applyAlignment="1">
      <alignment vertical="center"/>
    </xf>
    <xf numFmtId="0" fontId="1" fillId="6" borderId="22" xfId="0" applyFont="1" applyFill="1" applyBorder="1" applyAlignment="1">
      <alignment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left" vertical="center"/>
    </xf>
    <xf numFmtId="176" fontId="1" fillId="6" borderId="2" xfId="0" applyNumberFormat="1" applyFont="1" applyFill="1" applyBorder="1" applyAlignment="1">
      <alignment horizontal="center" vertical="center"/>
    </xf>
    <xf numFmtId="176" fontId="1" fillId="6" borderId="3" xfId="0" applyNumberFormat="1" applyFont="1" applyFill="1" applyBorder="1" applyAlignment="1">
      <alignment horizontal="center" vertical="center"/>
    </xf>
    <xf numFmtId="176" fontId="1" fillId="6" borderId="0" xfId="0" applyNumberFormat="1" applyFont="1" applyFill="1" applyBorder="1" applyAlignment="1">
      <alignment horizontal="center" vertical="center"/>
    </xf>
    <xf numFmtId="176" fontId="1" fillId="6" borderId="26" xfId="0" applyNumberFormat="1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176" fontId="1" fillId="6" borderId="21" xfId="0" applyNumberFormat="1" applyFont="1" applyFill="1" applyBorder="1" applyAlignment="1">
      <alignment horizontal="center" vertical="center"/>
    </xf>
    <xf numFmtId="176" fontId="1" fillId="6" borderId="22" xfId="0" applyNumberFormat="1" applyFont="1" applyFill="1" applyBorder="1" applyAlignment="1">
      <alignment horizontal="center" vertical="center"/>
    </xf>
    <xf numFmtId="0" fontId="1" fillId="7" borderId="27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7" borderId="2" xfId="0" applyNumberFormat="1" applyFont="1" applyFill="1" applyBorder="1" applyAlignment="1">
      <alignment horizontal="center" vertical="center"/>
    </xf>
    <xf numFmtId="176" fontId="1" fillId="7" borderId="3" xfId="0" applyNumberFormat="1" applyFont="1" applyFill="1" applyBorder="1" applyAlignment="1">
      <alignment horizontal="center" vertical="center"/>
    </xf>
    <xf numFmtId="176" fontId="1" fillId="7" borderId="20" xfId="0" applyNumberFormat="1" applyFont="1" applyFill="1" applyBorder="1" applyAlignment="1">
      <alignment horizontal="center" vertical="center"/>
    </xf>
    <xf numFmtId="176" fontId="1" fillId="7" borderId="21" xfId="0" applyNumberFormat="1" applyFont="1" applyFill="1" applyBorder="1" applyAlignment="1">
      <alignment horizontal="center" vertical="center"/>
    </xf>
    <xf numFmtId="176" fontId="1" fillId="7" borderId="22" xfId="0" applyNumberFormat="1" applyFont="1" applyFill="1" applyBorder="1" applyAlignment="1">
      <alignment horizontal="center" vertical="center"/>
    </xf>
    <xf numFmtId="176" fontId="4" fillId="7" borderId="20" xfId="0" applyNumberFormat="1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left" vertical="center"/>
    </xf>
    <xf numFmtId="0" fontId="1" fillId="7" borderId="12" xfId="0" applyFont="1" applyFill="1" applyBorder="1" applyAlignment="1">
      <alignment horizontal="left" vertical="center"/>
    </xf>
    <xf numFmtId="176" fontId="1" fillId="7" borderId="27" xfId="0" applyNumberFormat="1" applyFont="1" applyFill="1" applyBorder="1" applyAlignment="1">
      <alignment horizontal="center" vertical="center"/>
    </xf>
    <xf numFmtId="176" fontId="1" fillId="7" borderId="0" xfId="0" applyNumberFormat="1" applyFont="1" applyFill="1" applyAlignment="1">
      <alignment horizontal="center" vertical="center"/>
    </xf>
    <xf numFmtId="176" fontId="1" fillId="7" borderId="26" xfId="0" applyNumberFormat="1" applyFont="1" applyFill="1" applyBorder="1" applyAlignment="1">
      <alignment horizontal="center" vertical="center"/>
    </xf>
    <xf numFmtId="176" fontId="1" fillId="2" borderId="27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1" fillId="2" borderId="26" xfId="0" applyNumberFormat="1" applyFont="1" applyFill="1" applyBorder="1" applyAlignment="1">
      <alignment horizontal="center" vertical="center"/>
    </xf>
    <xf numFmtId="176" fontId="1" fillId="2" borderId="20" xfId="0" applyNumberFormat="1" applyFont="1" applyFill="1" applyBorder="1" applyAlignment="1">
      <alignment horizontal="center" vertical="center"/>
    </xf>
    <xf numFmtId="176" fontId="1" fillId="2" borderId="21" xfId="0" applyNumberFormat="1" applyFont="1" applyFill="1" applyBorder="1" applyAlignment="1">
      <alignment horizontal="center" vertical="center"/>
    </xf>
    <xf numFmtId="176" fontId="1" fillId="2" borderId="22" xfId="0" applyNumberFormat="1" applyFont="1" applyFill="1" applyBorder="1" applyAlignment="1">
      <alignment horizontal="center" vertical="center"/>
    </xf>
    <xf numFmtId="0" fontId="1" fillId="8" borderId="2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left" vertical="center"/>
    </xf>
    <xf numFmtId="0" fontId="1" fillId="8" borderId="0" xfId="0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9" borderId="31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left" vertical="center"/>
    </xf>
    <xf numFmtId="0" fontId="1" fillId="9" borderId="29" xfId="0" applyFont="1" applyFill="1" applyBorder="1" applyAlignment="1">
      <alignment horizontal="left" vertical="center"/>
    </xf>
    <xf numFmtId="176" fontId="1" fillId="9" borderId="1" xfId="0" applyNumberFormat="1" applyFont="1" applyFill="1" applyBorder="1" applyAlignment="1">
      <alignment horizontal="center" vertical="center"/>
    </xf>
    <xf numFmtId="176" fontId="1" fillId="9" borderId="2" xfId="0" applyNumberFormat="1" applyFont="1" applyFill="1" applyBorder="1" applyAlignment="1">
      <alignment horizontal="center" vertical="center"/>
    </xf>
    <xf numFmtId="176" fontId="1" fillId="9" borderId="3" xfId="0" applyNumberFormat="1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176" fontId="1" fillId="9" borderId="27" xfId="0" applyNumberFormat="1" applyFont="1" applyFill="1" applyBorder="1" applyAlignment="1">
      <alignment horizontal="center" vertical="center"/>
    </xf>
    <xf numFmtId="176" fontId="1" fillId="9" borderId="0" xfId="0" applyNumberFormat="1" applyFont="1" applyFill="1" applyAlignment="1">
      <alignment horizontal="center" vertical="center"/>
    </xf>
    <xf numFmtId="176" fontId="1" fillId="9" borderId="26" xfId="0" applyNumberFormat="1" applyFont="1" applyFill="1" applyBorder="1" applyAlignment="1">
      <alignment horizontal="center" vertical="center"/>
    </xf>
    <xf numFmtId="176" fontId="1" fillId="9" borderId="0" xfId="0" applyNumberFormat="1" applyFont="1" applyFill="1" applyBorder="1" applyAlignment="1">
      <alignment horizontal="center" vertical="center"/>
    </xf>
    <xf numFmtId="176" fontId="1" fillId="9" borderId="20" xfId="0" applyNumberFormat="1" applyFont="1" applyFill="1" applyBorder="1" applyAlignment="1">
      <alignment horizontal="center" vertical="center"/>
    </xf>
    <xf numFmtId="176" fontId="1" fillId="9" borderId="21" xfId="0" applyNumberFormat="1" applyFont="1" applyFill="1" applyBorder="1" applyAlignment="1">
      <alignment horizontal="center" vertical="center"/>
    </xf>
    <xf numFmtId="176" fontId="1" fillId="9" borderId="2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41FF96"/>
      <color rgb="00B9FF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63</xdr:row>
      <xdr:rowOff>19050</xdr:rowOff>
    </xdr:from>
    <xdr:to>
      <xdr:col>9</xdr:col>
      <xdr:colOff>354330</xdr:colOff>
      <xdr:row>83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2163425"/>
          <a:ext cx="11198860" cy="3673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2"/>
  <sheetViews>
    <sheetView tabSelected="1" showRuler="0" topLeftCell="A28" workbookViewId="0">
      <pane xSplit="1" topLeftCell="B1" activePane="topRight" state="frozen"/>
      <selection/>
      <selection pane="topRight" activeCell="I48" sqref="I48"/>
    </sheetView>
  </sheetViews>
  <sheetFormatPr defaultColWidth="10.6666666666667" defaultRowHeight="14.5"/>
  <cols>
    <col min="1" max="1" width="23.2333333333333" style="2" customWidth="1"/>
    <col min="2" max="2" width="13.75" style="2" customWidth="1"/>
    <col min="3" max="3" width="13.0083333333333" style="2" customWidth="1"/>
    <col min="4" max="4" width="13.9166666666667" style="2" customWidth="1"/>
    <col min="5" max="5" width="16.4166666666667" style="2" customWidth="1"/>
    <col min="6" max="6" width="13.3333333333333" style="2" customWidth="1"/>
    <col min="7" max="7" width="17.3333333333333" style="2" customWidth="1"/>
    <col min="8" max="8" width="14.3333333333333" style="2" customWidth="1"/>
    <col min="9" max="9" width="17" style="2" customWidth="1"/>
    <col min="10" max="10" width="13.5" style="2" customWidth="1"/>
    <col min="11" max="11" width="17.5" style="2" customWidth="1"/>
    <col min="12" max="16384" width="10.6666666666667" style="2"/>
  </cols>
  <sheetData>
    <row r="1" ht="15.25" spans="1:34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</row>
    <row r="2" spans="1:34">
      <c r="A2" s="6"/>
      <c r="B2" s="7" t="s">
        <v>0</v>
      </c>
      <c r="C2" s="8"/>
      <c r="D2" s="8"/>
      <c r="E2" s="8"/>
      <c r="F2" s="8"/>
      <c r="G2" s="9"/>
      <c r="H2" s="10" t="s">
        <v>1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  <c r="AA2" s="13" t="s">
        <v>2</v>
      </c>
      <c r="AB2" s="14"/>
      <c r="AC2" s="14"/>
      <c r="AD2" s="14"/>
      <c r="AE2" s="14"/>
      <c r="AF2" s="14"/>
      <c r="AG2" s="14"/>
      <c r="AH2" s="15"/>
    </row>
    <row r="3" spans="1:34">
      <c r="A3" s="16" t="s">
        <v>3</v>
      </c>
      <c r="B3" s="17">
        <v>1</v>
      </c>
      <c r="C3" s="18">
        <v>2</v>
      </c>
      <c r="D3" s="18">
        <v>3</v>
      </c>
      <c r="E3" s="18">
        <v>4</v>
      </c>
      <c r="F3" s="18">
        <v>5</v>
      </c>
      <c r="G3" s="19">
        <v>6</v>
      </c>
      <c r="H3" s="20">
        <v>7</v>
      </c>
      <c r="I3" s="21">
        <v>8</v>
      </c>
      <c r="J3" s="21">
        <v>9</v>
      </c>
      <c r="K3" s="21">
        <v>10</v>
      </c>
      <c r="L3" s="21">
        <v>11</v>
      </c>
      <c r="M3" s="21">
        <v>12</v>
      </c>
      <c r="N3" s="21">
        <v>13</v>
      </c>
      <c r="O3" s="21">
        <v>14</v>
      </c>
      <c r="P3" s="21">
        <v>15</v>
      </c>
      <c r="Q3" s="21">
        <v>16</v>
      </c>
      <c r="R3" s="21">
        <v>17</v>
      </c>
      <c r="S3" s="21">
        <v>18</v>
      </c>
      <c r="T3" s="21">
        <v>19</v>
      </c>
      <c r="U3" s="21">
        <v>20</v>
      </c>
      <c r="V3" s="21">
        <v>21</v>
      </c>
      <c r="W3" s="21">
        <v>22</v>
      </c>
      <c r="X3" s="21">
        <v>23</v>
      </c>
      <c r="Y3" s="21">
        <v>24</v>
      </c>
      <c r="Z3" s="22">
        <v>25</v>
      </c>
      <c r="AA3" s="23">
        <v>26</v>
      </c>
      <c r="AB3" s="24">
        <v>27</v>
      </c>
      <c r="AC3" s="24">
        <v>28</v>
      </c>
      <c r="AD3" s="24">
        <v>29</v>
      </c>
      <c r="AE3" s="24">
        <v>30</v>
      </c>
      <c r="AF3" s="24">
        <v>31</v>
      </c>
      <c r="AG3" s="24">
        <v>32</v>
      </c>
      <c r="AH3" s="25">
        <v>33</v>
      </c>
    </row>
    <row r="4" spans="1:34">
      <c r="A4" s="16" t="s">
        <v>4</v>
      </c>
      <c r="B4" s="17">
        <v>25</v>
      </c>
      <c r="C4" s="18" t="s">
        <v>5</v>
      </c>
      <c r="D4" s="18">
        <v>50</v>
      </c>
      <c r="E4" s="18">
        <v>75</v>
      </c>
      <c r="F4" s="18">
        <v>100</v>
      </c>
      <c r="G4" s="19">
        <v>167</v>
      </c>
      <c r="H4" s="20">
        <v>45</v>
      </c>
      <c r="I4" s="21">
        <v>75</v>
      </c>
      <c r="J4" s="21">
        <v>75</v>
      </c>
      <c r="K4" s="21" t="s">
        <v>6</v>
      </c>
      <c r="L4" s="21">
        <v>150</v>
      </c>
      <c r="M4" s="21">
        <v>150</v>
      </c>
      <c r="N4" s="21">
        <v>225</v>
      </c>
      <c r="O4" s="21">
        <v>225</v>
      </c>
      <c r="P4" s="21">
        <v>300</v>
      </c>
      <c r="Q4" s="21">
        <v>300</v>
      </c>
      <c r="R4" s="21">
        <v>500</v>
      </c>
      <c r="S4" s="21">
        <v>500</v>
      </c>
      <c r="T4" s="21">
        <v>750</v>
      </c>
      <c r="U4" s="21">
        <v>750</v>
      </c>
      <c r="V4" s="21">
        <v>1000</v>
      </c>
      <c r="W4" s="21">
        <v>1000</v>
      </c>
      <c r="X4" s="21">
        <v>1500</v>
      </c>
      <c r="Y4" s="21">
        <v>2000</v>
      </c>
      <c r="Z4" s="22">
        <v>2500</v>
      </c>
      <c r="AA4" s="23">
        <v>15</v>
      </c>
      <c r="AB4" s="24">
        <v>25</v>
      </c>
      <c r="AC4" s="26" t="s">
        <v>5</v>
      </c>
      <c r="AD4" s="24">
        <v>50</v>
      </c>
      <c r="AE4" s="24">
        <v>75</v>
      </c>
      <c r="AF4" s="24">
        <v>75</v>
      </c>
      <c r="AG4" s="24">
        <v>100</v>
      </c>
      <c r="AH4" s="25">
        <v>167</v>
      </c>
    </row>
    <row r="5" spans="1:34">
      <c r="A5" s="16" t="s">
        <v>7</v>
      </c>
      <c r="B5" s="17" t="s">
        <v>8</v>
      </c>
      <c r="C5" s="18" t="s">
        <v>8</v>
      </c>
      <c r="D5" s="18" t="s">
        <v>8</v>
      </c>
      <c r="E5" s="18" t="s">
        <v>8</v>
      </c>
      <c r="F5" s="18" t="s">
        <v>8</v>
      </c>
      <c r="G5" s="19" t="s">
        <v>8</v>
      </c>
      <c r="H5" s="20" t="s">
        <v>9</v>
      </c>
      <c r="I5" s="21" t="s">
        <v>9</v>
      </c>
      <c r="J5" s="21" t="s">
        <v>10</v>
      </c>
      <c r="K5" s="21" t="s">
        <v>9</v>
      </c>
      <c r="L5" s="21" t="s">
        <v>9</v>
      </c>
      <c r="M5" s="21" t="s">
        <v>10</v>
      </c>
      <c r="N5" s="21" t="s">
        <v>9</v>
      </c>
      <c r="O5" s="21" t="s">
        <v>10</v>
      </c>
      <c r="P5" s="21" t="s">
        <v>9</v>
      </c>
      <c r="Q5" s="21" t="s">
        <v>10</v>
      </c>
      <c r="R5" s="21" t="s">
        <v>9</v>
      </c>
      <c r="S5" s="21" t="s">
        <v>10</v>
      </c>
      <c r="T5" s="21" t="s">
        <v>9</v>
      </c>
      <c r="U5" s="21" t="s">
        <v>10</v>
      </c>
      <c r="V5" s="21" t="s">
        <v>9</v>
      </c>
      <c r="W5" s="21" t="s">
        <v>10</v>
      </c>
      <c r="X5" s="21" t="s">
        <v>10</v>
      </c>
      <c r="Y5" s="21" t="s">
        <v>10</v>
      </c>
      <c r="Z5" s="22" t="s">
        <v>10</v>
      </c>
      <c r="AA5" s="23" t="s">
        <v>8</v>
      </c>
      <c r="AB5" s="24" t="s">
        <v>8</v>
      </c>
      <c r="AC5" s="24" t="s">
        <v>8</v>
      </c>
      <c r="AD5" s="24" t="s">
        <v>8</v>
      </c>
      <c r="AE5" s="24" t="s">
        <v>8</v>
      </c>
      <c r="AF5" s="24" t="s">
        <v>11</v>
      </c>
      <c r="AG5" s="24" t="s">
        <v>8</v>
      </c>
      <c r="AH5" s="25" t="s">
        <v>8</v>
      </c>
    </row>
    <row r="6" spans="1:34">
      <c r="A6" s="16" t="s">
        <v>12</v>
      </c>
      <c r="B6" s="17"/>
      <c r="C6" s="18"/>
      <c r="D6" s="18"/>
      <c r="E6" s="18"/>
      <c r="F6" s="18"/>
      <c r="G6" s="19"/>
      <c r="H6" s="27"/>
      <c r="I6" s="21"/>
      <c r="J6" s="21"/>
      <c r="K6" s="21"/>
      <c r="L6" s="21"/>
      <c r="M6" s="21"/>
      <c r="N6" s="21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9"/>
      <c r="AA6" s="30"/>
      <c r="AB6" s="26"/>
      <c r="AC6" s="26"/>
      <c r="AD6" s="26"/>
      <c r="AE6" s="26"/>
      <c r="AF6" s="26"/>
      <c r="AG6" s="26"/>
      <c r="AH6" s="31"/>
    </row>
    <row r="7" spans="1:34">
      <c r="A7" s="16" t="s">
        <v>13</v>
      </c>
      <c r="B7" s="32" t="s">
        <v>14</v>
      </c>
      <c r="C7" s="33"/>
      <c r="D7" s="32" t="s">
        <v>15</v>
      </c>
      <c r="E7" s="34"/>
      <c r="F7" s="34"/>
      <c r="G7" s="35"/>
      <c r="H7" s="36" t="s">
        <v>16</v>
      </c>
      <c r="I7" s="37"/>
      <c r="J7" s="38" t="s">
        <v>17</v>
      </c>
      <c r="K7" s="39"/>
      <c r="L7" s="39"/>
      <c r="M7" s="39"/>
      <c r="N7" s="39"/>
      <c r="O7" s="39"/>
      <c r="P7" s="39"/>
      <c r="Q7" s="37"/>
      <c r="R7" s="38" t="s">
        <v>18</v>
      </c>
      <c r="S7" s="37"/>
      <c r="T7" s="40">
        <v>0.0575</v>
      </c>
      <c r="U7" s="41"/>
      <c r="V7" s="41"/>
      <c r="W7" s="41"/>
      <c r="X7" s="41"/>
      <c r="Y7" s="41"/>
      <c r="Z7" s="42"/>
      <c r="AA7" s="43" t="s">
        <v>14</v>
      </c>
      <c r="AB7" s="44"/>
      <c r="AC7" s="45"/>
      <c r="AD7" s="46" t="s">
        <v>15</v>
      </c>
      <c r="AE7" s="44"/>
      <c r="AF7" s="44"/>
      <c r="AG7" s="44"/>
      <c r="AH7" s="47"/>
    </row>
    <row r="8" spans="1:34">
      <c r="A8" s="16" t="s">
        <v>19</v>
      </c>
      <c r="B8" s="48">
        <v>760</v>
      </c>
      <c r="C8" s="49">
        <v>941</v>
      </c>
      <c r="D8" s="49">
        <v>1216</v>
      </c>
      <c r="E8" s="49">
        <v>1487</v>
      </c>
      <c r="F8" s="49">
        <v>1813</v>
      </c>
      <c r="G8" s="50">
        <v>2078</v>
      </c>
      <c r="H8" s="51">
        <v>2162</v>
      </c>
      <c r="I8" s="52">
        <v>2437</v>
      </c>
      <c r="J8" s="52">
        <v>2435</v>
      </c>
      <c r="K8" s="52">
        <v>2951</v>
      </c>
      <c r="L8" s="52">
        <v>3125</v>
      </c>
      <c r="M8" s="52">
        <v>3124</v>
      </c>
      <c r="N8" s="52">
        <v>3779</v>
      </c>
      <c r="O8" s="52">
        <v>3777</v>
      </c>
      <c r="P8" s="52">
        <v>4452</v>
      </c>
      <c r="Q8" s="52">
        <v>4450</v>
      </c>
      <c r="R8" s="52">
        <v>5893</v>
      </c>
      <c r="S8" s="52">
        <v>5890</v>
      </c>
      <c r="T8" s="52">
        <v>7716</v>
      </c>
      <c r="U8" s="52">
        <v>7713</v>
      </c>
      <c r="V8" s="52">
        <v>8802</v>
      </c>
      <c r="W8" s="52">
        <v>8800</v>
      </c>
      <c r="X8" s="52">
        <v>11601</v>
      </c>
      <c r="Y8" s="52">
        <v>14604</v>
      </c>
      <c r="Z8" s="53">
        <v>16034</v>
      </c>
      <c r="AA8" s="54">
        <v>343</v>
      </c>
      <c r="AB8" s="55">
        <v>403</v>
      </c>
      <c r="AC8" s="55">
        <v>601</v>
      </c>
      <c r="AD8" s="55">
        <v>676</v>
      </c>
      <c r="AE8" s="55">
        <v>946</v>
      </c>
      <c r="AF8" s="55">
        <v>945</v>
      </c>
      <c r="AG8" s="55">
        <v>1230</v>
      </c>
      <c r="AH8" s="56">
        <v>1660</v>
      </c>
    </row>
    <row r="9" spans="1:34">
      <c r="A9" s="16" t="s">
        <v>20</v>
      </c>
      <c r="B9" s="32" t="s">
        <v>21</v>
      </c>
      <c r="C9" s="34"/>
      <c r="D9" s="34"/>
      <c r="E9" s="34"/>
      <c r="F9" s="34"/>
      <c r="G9" s="35"/>
      <c r="H9" s="36" t="s">
        <v>21</v>
      </c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57"/>
      <c r="AA9" s="43" t="s">
        <v>21</v>
      </c>
      <c r="AB9" s="44"/>
      <c r="AC9" s="44"/>
      <c r="AD9" s="44"/>
      <c r="AE9" s="44"/>
      <c r="AF9" s="44"/>
      <c r="AG9" s="44"/>
      <c r="AH9" s="47"/>
    </row>
    <row r="10" ht="29" spans="1:34">
      <c r="A10" s="58" t="s">
        <v>22</v>
      </c>
      <c r="B10" s="59">
        <v>0.0109</v>
      </c>
      <c r="C10" s="59">
        <v>0.0099</v>
      </c>
      <c r="D10" s="59">
        <v>0.0098</v>
      </c>
      <c r="E10" s="59">
        <v>0.0092</v>
      </c>
      <c r="F10" s="59">
        <v>0.0083</v>
      </c>
      <c r="G10" s="59">
        <v>0.0075</v>
      </c>
      <c r="H10" s="60">
        <v>0.0134</v>
      </c>
      <c r="I10" s="40">
        <v>0.0124</v>
      </c>
      <c r="J10" s="61"/>
      <c r="K10" s="62">
        <v>0.0121</v>
      </c>
      <c r="L10" s="40">
        <v>0.0118</v>
      </c>
      <c r="M10" s="61"/>
      <c r="N10" s="40">
        <v>0.0113</v>
      </c>
      <c r="O10" s="61"/>
      <c r="P10" s="40">
        <v>0.0109</v>
      </c>
      <c r="Q10" s="61"/>
      <c r="R10" s="40">
        <v>0.0105</v>
      </c>
      <c r="S10" s="61"/>
      <c r="T10" s="40">
        <v>0.0102</v>
      </c>
      <c r="U10" s="61"/>
      <c r="V10" s="40">
        <v>0.0104</v>
      </c>
      <c r="W10" s="61"/>
      <c r="X10" s="62">
        <v>0.0097</v>
      </c>
      <c r="Y10" s="62">
        <v>0.0089</v>
      </c>
      <c r="Z10" s="63">
        <v>0.0089</v>
      </c>
      <c r="AA10" s="64">
        <v>0.0119</v>
      </c>
      <c r="AB10" s="64">
        <v>0.0109</v>
      </c>
      <c r="AC10" s="64">
        <v>0.0099</v>
      </c>
      <c r="AD10" s="64">
        <v>0.0098</v>
      </c>
      <c r="AE10" s="64">
        <v>0.0092</v>
      </c>
      <c r="AF10" s="64">
        <v>0.0091</v>
      </c>
      <c r="AG10" s="64">
        <v>0.0083</v>
      </c>
      <c r="AH10" s="64">
        <v>0.0075</v>
      </c>
    </row>
    <row r="11" ht="29" spans="1:34">
      <c r="A11" s="58" t="s">
        <v>23</v>
      </c>
      <c r="B11" s="59">
        <v>0.0183</v>
      </c>
      <c r="C11" s="59">
        <v>0.018</v>
      </c>
      <c r="D11" s="59">
        <v>0.0188</v>
      </c>
      <c r="E11" s="59">
        <v>0.019</v>
      </c>
      <c r="F11" s="59">
        <v>0.0178</v>
      </c>
      <c r="G11" s="59">
        <v>0.018</v>
      </c>
      <c r="H11" s="60">
        <v>0.0278</v>
      </c>
      <c r="I11" s="40">
        <v>0.0279</v>
      </c>
      <c r="J11" s="61"/>
      <c r="K11" s="62">
        <v>0.0306</v>
      </c>
      <c r="L11" s="40">
        <v>0.0316</v>
      </c>
      <c r="M11" s="61"/>
      <c r="N11" s="40">
        <v>0.0318</v>
      </c>
      <c r="O11" s="61"/>
      <c r="P11" s="40">
        <v>0.0318</v>
      </c>
      <c r="Q11" s="61"/>
      <c r="R11" s="40">
        <v>0.0381</v>
      </c>
      <c r="S11" s="61"/>
      <c r="T11" s="40">
        <v>0.0426</v>
      </c>
      <c r="U11" s="61"/>
      <c r="V11" s="40">
        <v>0.0437</v>
      </c>
      <c r="W11" s="61"/>
      <c r="X11" s="62">
        <v>0.0435</v>
      </c>
      <c r="Y11" s="62">
        <v>0.0423</v>
      </c>
      <c r="Z11" s="63">
        <v>0.042</v>
      </c>
      <c r="AA11" s="64">
        <v>0.0177</v>
      </c>
      <c r="AB11" s="64">
        <v>0.0183</v>
      </c>
      <c r="AC11" s="64">
        <v>0.018</v>
      </c>
      <c r="AD11" s="64">
        <v>0.0188</v>
      </c>
      <c r="AE11" s="64">
        <v>0.019</v>
      </c>
      <c r="AF11" s="64">
        <v>0.0189</v>
      </c>
      <c r="AG11" s="64">
        <v>0.0178</v>
      </c>
      <c r="AH11" s="64">
        <v>0.018</v>
      </c>
    </row>
    <row r="12" spans="1:34">
      <c r="A12" s="16" t="s">
        <v>24</v>
      </c>
      <c r="B12" s="48">
        <v>0.069</v>
      </c>
      <c r="C12" s="48">
        <v>0.094</v>
      </c>
      <c r="D12" s="48">
        <v>0.114</v>
      </c>
      <c r="E12" s="48">
        <v>0.154</v>
      </c>
      <c r="F12" s="48">
        <v>0.184</v>
      </c>
      <c r="G12" s="48">
        <v>0.279</v>
      </c>
      <c r="H12" s="51">
        <v>0.108</v>
      </c>
      <c r="I12" s="38">
        <v>0.158</v>
      </c>
      <c r="J12" s="37"/>
      <c r="K12" s="52">
        <v>0.208</v>
      </c>
      <c r="L12" s="38">
        <v>0.258</v>
      </c>
      <c r="M12" s="37"/>
      <c r="N12" s="38">
        <v>0.348</v>
      </c>
      <c r="O12" s="37"/>
      <c r="P12" s="38">
        <v>0.418</v>
      </c>
      <c r="Q12" s="37"/>
      <c r="R12" s="38">
        <v>0.603</v>
      </c>
      <c r="S12" s="37"/>
      <c r="T12" s="38">
        <v>0.823</v>
      </c>
      <c r="U12" s="37"/>
      <c r="V12" s="38">
        <v>0.978</v>
      </c>
      <c r="W12" s="37"/>
      <c r="X12" s="52">
        <v>1.35</v>
      </c>
      <c r="Y12" s="52">
        <v>1.68</v>
      </c>
      <c r="Z12" s="53">
        <v>2.01</v>
      </c>
      <c r="AA12" s="54">
        <v>0.047</v>
      </c>
      <c r="AB12" s="54">
        <v>0.069</v>
      </c>
      <c r="AC12" s="54">
        <v>0.094</v>
      </c>
      <c r="AD12" s="54">
        <v>0.114</v>
      </c>
      <c r="AE12" s="54">
        <v>0.154</v>
      </c>
      <c r="AF12" s="54">
        <v>0.154</v>
      </c>
      <c r="AG12" s="54">
        <v>0.184</v>
      </c>
      <c r="AH12" s="54">
        <v>0.279</v>
      </c>
    </row>
    <row r="13" ht="15.25" spans="1:34">
      <c r="A13" s="65" t="s">
        <v>25</v>
      </c>
      <c r="B13" s="66">
        <v>0.28</v>
      </c>
      <c r="C13" s="66">
        <v>0.375</v>
      </c>
      <c r="D13" s="66">
        <v>0.485</v>
      </c>
      <c r="E13" s="66">
        <v>0.67</v>
      </c>
      <c r="F13" s="66">
        <v>0.86</v>
      </c>
      <c r="G13" s="66">
        <v>1.26</v>
      </c>
      <c r="H13" s="67">
        <v>0.6</v>
      </c>
      <c r="I13" s="68">
        <v>0.92</v>
      </c>
      <c r="J13" s="69"/>
      <c r="K13" s="70">
        <v>1.3</v>
      </c>
      <c r="L13" s="38">
        <v>1.68</v>
      </c>
      <c r="M13" s="37"/>
      <c r="N13" s="38">
        <v>2.3</v>
      </c>
      <c r="O13" s="37"/>
      <c r="P13" s="38">
        <v>3.02</v>
      </c>
      <c r="Q13" s="37"/>
      <c r="R13" s="38">
        <v>4.6</v>
      </c>
      <c r="S13" s="37"/>
      <c r="T13" s="38">
        <v>6.45</v>
      </c>
      <c r="U13" s="37"/>
      <c r="V13" s="38">
        <v>8.43</v>
      </c>
      <c r="W13" s="37"/>
      <c r="X13" s="52">
        <v>11.48</v>
      </c>
      <c r="Y13" s="52">
        <v>14.5</v>
      </c>
      <c r="Z13" s="53">
        <v>17.5</v>
      </c>
      <c r="AA13" s="54">
        <v>0.185</v>
      </c>
      <c r="AB13" s="54">
        <v>0.28</v>
      </c>
      <c r="AC13" s="54">
        <v>0.375</v>
      </c>
      <c r="AD13" s="54">
        <v>0.485</v>
      </c>
      <c r="AE13" s="54">
        <v>0.67</v>
      </c>
      <c r="AF13" s="54">
        <v>0.67</v>
      </c>
      <c r="AG13" s="54">
        <v>0.86</v>
      </c>
      <c r="AH13" s="54">
        <v>1.26</v>
      </c>
    </row>
    <row r="14" spans="1:34">
      <c r="A14" s="71"/>
      <c r="B14" s="72"/>
      <c r="C14" s="73"/>
      <c r="D14" s="74" t="s">
        <v>26</v>
      </c>
      <c r="E14" s="74"/>
      <c r="F14" s="74" t="s">
        <v>26</v>
      </c>
      <c r="G14" s="75"/>
      <c r="H14" s="76" t="s">
        <v>26</v>
      </c>
      <c r="I14" s="74"/>
      <c r="J14" s="74" t="s">
        <v>26</v>
      </c>
      <c r="K14" s="75"/>
    </row>
    <row r="15" ht="15.25" spans="1:34">
      <c r="A15" s="77"/>
      <c r="B15" s="78"/>
      <c r="C15" s="79"/>
      <c r="D15" s="80" t="s">
        <v>27</v>
      </c>
      <c r="E15" s="80"/>
      <c r="F15" s="80"/>
      <c r="G15" s="81"/>
      <c r="H15" s="82" t="s">
        <v>28</v>
      </c>
      <c r="I15" s="80"/>
      <c r="J15" s="80"/>
      <c r="K15" s="81"/>
    </row>
    <row r="16" ht="19" customHeight="1" spans="1:34">
      <c r="A16" s="83" t="s">
        <v>29</v>
      </c>
      <c r="B16" s="84" t="s">
        <v>30</v>
      </c>
      <c r="C16" s="85"/>
      <c r="D16" s="86" t="s">
        <v>31</v>
      </c>
      <c r="E16" s="86" t="s">
        <v>32</v>
      </c>
      <c r="F16" s="86" t="s">
        <v>33</v>
      </c>
      <c r="G16" s="87" t="s">
        <v>34</v>
      </c>
      <c r="H16" s="88" t="s">
        <v>31</v>
      </c>
      <c r="I16" s="86" t="s">
        <v>32</v>
      </c>
      <c r="J16" s="86" t="s">
        <v>33</v>
      </c>
      <c r="K16" s="87" t="s">
        <v>34</v>
      </c>
    </row>
    <row r="17" spans="1:11">
      <c r="A17" s="89">
        <v>1</v>
      </c>
      <c r="B17" s="90" t="s">
        <v>35</v>
      </c>
      <c r="C17" s="90"/>
      <c r="D17" s="91">
        <f t="shared" ref="D17:D24" si="0">F17*1.2+400</f>
        <v>4420</v>
      </c>
      <c r="E17" s="91">
        <f t="shared" ref="E17:E24" si="1">G17*1.2+400</f>
        <v>3988</v>
      </c>
      <c r="F17" s="91">
        <v>3350</v>
      </c>
      <c r="G17" s="92">
        <v>2990</v>
      </c>
      <c r="H17" s="91">
        <f t="shared" ref="H17:H24" si="2">J17*1.2+400</f>
        <v>3940</v>
      </c>
      <c r="I17" s="91">
        <f t="shared" ref="I17:I24" si="3">K17*1.2+400</f>
        <v>3520</v>
      </c>
      <c r="J17" s="91">
        <v>2950</v>
      </c>
      <c r="K17" s="92">
        <v>2600</v>
      </c>
    </row>
    <row r="18" spans="1:11">
      <c r="A18" s="89">
        <v>2</v>
      </c>
      <c r="B18" s="90" t="s">
        <v>36</v>
      </c>
      <c r="C18" s="90"/>
      <c r="D18" s="93">
        <f t="shared" si="0"/>
        <v>4840</v>
      </c>
      <c r="E18" s="93">
        <f t="shared" si="1"/>
        <v>4408</v>
      </c>
      <c r="F18" s="93">
        <v>3700</v>
      </c>
      <c r="G18" s="94">
        <v>3340</v>
      </c>
      <c r="H18" s="93">
        <f t="shared" si="2"/>
        <v>4480</v>
      </c>
      <c r="I18" s="93">
        <f t="shared" si="3"/>
        <v>4000</v>
      </c>
      <c r="J18" s="93">
        <v>3400</v>
      </c>
      <c r="K18" s="94">
        <v>3000</v>
      </c>
    </row>
    <row r="19" spans="1:11">
      <c r="A19" s="89">
        <v>3</v>
      </c>
      <c r="B19" s="90" t="s">
        <v>37</v>
      </c>
      <c r="C19" s="90"/>
      <c r="D19" s="93">
        <f t="shared" si="0"/>
        <v>5320</v>
      </c>
      <c r="E19" s="93">
        <f t="shared" si="1"/>
        <v>4816</v>
      </c>
      <c r="F19" s="93">
        <v>4100</v>
      </c>
      <c r="G19" s="94">
        <v>3680</v>
      </c>
      <c r="H19" s="93">
        <f t="shared" si="2"/>
        <v>4720</v>
      </c>
      <c r="I19" s="93">
        <f t="shared" si="3"/>
        <v>4240</v>
      </c>
      <c r="J19" s="93">
        <v>3600</v>
      </c>
      <c r="K19" s="94">
        <v>3200</v>
      </c>
    </row>
    <row r="20" spans="1:11">
      <c r="A20" s="89">
        <v>4</v>
      </c>
      <c r="B20" s="90" t="s">
        <v>38</v>
      </c>
      <c r="C20" s="90"/>
      <c r="D20" s="93">
        <f t="shared" si="0"/>
        <v>5920</v>
      </c>
      <c r="E20" s="93">
        <f t="shared" si="1"/>
        <v>5380</v>
      </c>
      <c r="F20" s="93">
        <v>4600</v>
      </c>
      <c r="G20" s="94">
        <v>4150</v>
      </c>
      <c r="H20" s="93">
        <f t="shared" si="2"/>
        <v>5440</v>
      </c>
      <c r="I20" s="93">
        <f t="shared" si="3"/>
        <v>4720</v>
      </c>
      <c r="J20" s="93">
        <v>4200</v>
      </c>
      <c r="K20" s="94">
        <v>3600</v>
      </c>
    </row>
    <row r="21" spans="1:11">
      <c r="A21" s="89">
        <v>5</v>
      </c>
      <c r="B21" s="90" t="s">
        <v>39</v>
      </c>
      <c r="C21" s="90"/>
      <c r="D21" s="93">
        <f t="shared" si="0"/>
        <v>6520</v>
      </c>
      <c r="E21" s="93">
        <f t="shared" si="1"/>
        <v>5944</v>
      </c>
      <c r="F21" s="93">
        <v>5100</v>
      </c>
      <c r="G21" s="94">
        <v>4620</v>
      </c>
      <c r="H21" s="93">
        <f t="shared" si="2"/>
        <v>5920</v>
      </c>
      <c r="I21" s="93">
        <f t="shared" si="3"/>
        <v>5200</v>
      </c>
      <c r="J21" s="93">
        <v>4600</v>
      </c>
      <c r="K21" s="94">
        <v>4000</v>
      </c>
    </row>
    <row r="22" spans="1:11">
      <c r="A22" s="89">
        <v>6</v>
      </c>
      <c r="B22" s="90" t="s">
        <v>40</v>
      </c>
      <c r="C22" s="90"/>
      <c r="D22" s="93">
        <f t="shared" si="0"/>
        <v>8500</v>
      </c>
      <c r="E22" s="93">
        <f t="shared" si="1"/>
        <v>7768</v>
      </c>
      <c r="F22" s="93">
        <v>6750</v>
      </c>
      <c r="G22" s="94">
        <v>6140</v>
      </c>
      <c r="H22" s="93">
        <f t="shared" si="2"/>
        <v>7720</v>
      </c>
      <c r="I22" s="93">
        <f t="shared" si="3"/>
        <v>6880</v>
      </c>
      <c r="J22" s="93">
        <v>6100</v>
      </c>
      <c r="K22" s="94">
        <v>5400</v>
      </c>
    </row>
    <row r="23" spans="1:11">
      <c r="A23" s="89">
        <v>7</v>
      </c>
      <c r="B23" s="90" t="s">
        <v>41</v>
      </c>
      <c r="C23" s="90"/>
      <c r="D23" s="93">
        <f t="shared" si="0"/>
        <v>10120</v>
      </c>
      <c r="E23" s="93">
        <f t="shared" si="1"/>
        <v>9268</v>
      </c>
      <c r="F23" s="93">
        <v>8100</v>
      </c>
      <c r="G23" s="94">
        <v>7390</v>
      </c>
      <c r="H23" s="93">
        <f t="shared" si="2"/>
        <v>9160</v>
      </c>
      <c r="I23" s="93">
        <f t="shared" si="3"/>
        <v>8320</v>
      </c>
      <c r="J23" s="93">
        <v>7300</v>
      </c>
      <c r="K23" s="94">
        <v>6600</v>
      </c>
    </row>
    <row r="24" ht="15.25" spans="1:11">
      <c r="A24" s="95">
        <v>8</v>
      </c>
      <c r="B24" s="90" t="s">
        <v>42</v>
      </c>
      <c r="C24" s="90"/>
      <c r="D24" s="96">
        <f t="shared" si="0"/>
        <v>12040</v>
      </c>
      <c r="E24" s="96">
        <f t="shared" si="1"/>
        <v>11224</v>
      </c>
      <c r="F24" s="96">
        <v>9700</v>
      </c>
      <c r="G24" s="97">
        <v>9020</v>
      </c>
      <c r="H24" s="96">
        <f t="shared" si="2"/>
        <v>11080</v>
      </c>
      <c r="I24" s="96">
        <f t="shared" si="3"/>
        <v>10240</v>
      </c>
      <c r="J24" s="96">
        <v>8900</v>
      </c>
      <c r="K24" s="97">
        <v>8200</v>
      </c>
    </row>
    <row r="25" spans="1:11">
      <c r="A25" s="98"/>
      <c r="B25" s="99"/>
      <c r="C25" s="99"/>
      <c r="D25" s="100" t="s">
        <v>26</v>
      </c>
      <c r="E25" s="101"/>
      <c r="F25" s="101" t="s">
        <v>26</v>
      </c>
      <c r="G25" s="102"/>
      <c r="H25" s="100" t="s">
        <v>26</v>
      </c>
      <c r="I25" s="101"/>
      <c r="J25" s="101" t="s">
        <v>26</v>
      </c>
      <c r="K25" s="102"/>
    </row>
    <row r="26" ht="15.25" spans="1:11">
      <c r="A26" s="98"/>
      <c r="B26" s="99"/>
      <c r="C26" s="99"/>
      <c r="D26" s="103" t="s">
        <v>43</v>
      </c>
      <c r="E26" s="104"/>
      <c r="F26" s="104"/>
      <c r="G26" s="105"/>
      <c r="H26" s="106" t="s">
        <v>44</v>
      </c>
      <c r="I26" s="104"/>
      <c r="J26" s="104"/>
      <c r="K26" s="105"/>
    </row>
    <row r="27" spans="1:11">
      <c r="A27" s="107">
        <v>1</v>
      </c>
      <c r="B27" s="108" t="s">
        <v>45</v>
      </c>
      <c r="C27" s="109"/>
      <c r="D27" s="100">
        <v>11000</v>
      </c>
      <c r="E27" s="101">
        <v>10400</v>
      </c>
      <c r="F27" s="101">
        <f t="shared" ref="F27:F45" si="4">D27*0.85-400</f>
        <v>8950</v>
      </c>
      <c r="G27" s="102">
        <f t="shared" ref="G27:G45" si="5">E27*0.85-400</f>
        <v>8440</v>
      </c>
      <c r="H27" s="100">
        <f t="shared" ref="H27:H45" si="6">D27*0.95</f>
        <v>10450</v>
      </c>
      <c r="I27" s="101">
        <f t="shared" ref="I27:I45" si="7">E27*0.95</f>
        <v>9880</v>
      </c>
      <c r="J27" s="101">
        <f t="shared" ref="J27:J45" si="8">H27*0.85-400</f>
        <v>8482.5</v>
      </c>
      <c r="K27" s="102">
        <f t="shared" ref="K27:K45" si="9">I27*0.85-400</f>
        <v>7998</v>
      </c>
    </row>
    <row r="28" spans="1:11">
      <c r="A28" s="107">
        <v>2</v>
      </c>
      <c r="B28" s="108" t="s">
        <v>46</v>
      </c>
      <c r="C28" s="109"/>
      <c r="D28" s="110">
        <v>11385</v>
      </c>
      <c r="E28" s="111">
        <v>10780</v>
      </c>
      <c r="F28" s="111">
        <f t="shared" si="4"/>
        <v>9277.25</v>
      </c>
      <c r="G28" s="112">
        <f t="shared" si="5"/>
        <v>8763</v>
      </c>
      <c r="H28" s="110">
        <f t="shared" si="6"/>
        <v>10815.75</v>
      </c>
      <c r="I28" s="111">
        <f t="shared" si="7"/>
        <v>10241</v>
      </c>
      <c r="J28" s="111">
        <f t="shared" si="8"/>
        <v>8793.3875</v>
      </c>
      <c r="K28" s="112">
        <f t="shared" si="9"/>
        <v>8304.85</v>
      </c>
    </row>
    <row r="29" spans="1:11">
      <c r="A29" s="107">
        <v>3</v>
      </c>
      <c r="B29" s="108" t="s">
        <v>47</v>
      </c>
      <c r="C29" s="109"/>
      <c r="D29" s="110">
        <v>11385</v>
      </c>
      <c r="E29" s="111">
        <v>10780</v>
      </c>
      <c r="F29" s="111">
        <f t="shared" si="4"/>
        <v>9277.25</v>
      </c>
      <c r="G29" s="112">
        <f t="shared" si="5"/>
        <v>8763</v>
      </c>
      <c r="H29" s="110">
        <f t="shared" si="6"/>
        <v>10815.75</v>
      </c>
      <c r="I29" s="111">
        <f t="shared" si="7"/>
        <v>10241</v>
      </c>
      <c r="J29" s="111">
        <f t="shared" si="8"/>
        <v>8793.3875</v>
      </c>
      <c r="K29" s="112">
        <f t="shared" si="9"/>
        <v>8304.85</v>
      </c>
    </row>
    <row r="30" spans="1:11">
      <c r="A30" s="107">
        <v>4</v>
      </c>
      <c r="B30" s="108" t="s">
        <v>48</v>
      </c>
      <c r="C30" s="109"/>
      <c r="D30" s="110">
        <v>12000</v>
      </c>
      <c r="E30" s="111">
        <v>11400</v>
      </c>
      <c r="F30" s="111">
        <f t="shared" si="4"/>
        <v>9800</v>
      </c>
      <c r="G30" s="112">
        <f t="shared" si="5"/>
        <v>9290</v>
      </c>
      <c r="H30" s="110">
        <f t="shared" si="6"/>
        <v>11400</v>
      </c>
      <c r="I30" s="111">
        <f t="shared" si="7"/>
        <v>10830</v>
      </c>
      <c r="J30" s="111">
        <f t="shared" si="8"/>
        <v>9290</v>
      </c>
      <c r="K30" s="112">
        <f t="shared" si="9"/>
        <v>8805.5</v>
      </c>
    </row>
    <row r="31" spans="1:11">
      <c r="A31" s="107">
        <v>5</v>
      </c>
      <c r="B31" s="108" t="s">
        <v>49</v>
      </c>
      <c r="C31" s="109"/>
      <c r="D31" s="110">
        <v>12650</v>
      </c>
      <c r="E31" s="111">
        <v>11715</v>
      </c>
      <c r="F31" s="111">
        <f t="shared" si="4"/>
        <v>10352.5</v>
      </c>
      <c r="G31" s="112">
        <f t="shared" si="5"/>
        <v>9557.75</v>
      </c>
      <c r="H31" s="110">
        <f t="shared" si="6"/>
        <v>12017.5</v>
      </c>
      <c r="I31" s="111">
        <f t="shared" si="7"/>
        <v>11129.25</v>
      </c>
      <c r="J31" s="111">
        <f t="shared" si="8"/>
        <v>9814.875</v>
      </c>
      <c r="K31" s="112">
        <f t="shared" si="9"/>
        <v>9059.8625</v>
      </c>
    </row>
    <row r="32" spans="1:11">
      <c r="A32" s="107">
        <v>6</v>
      </c>
      <c r="B32" s="108" t="s">
        <v>50</v>
      </c>
      <c r="C32" s="109"/>
      <c r="D32" s="110">
        <v>12650</v>
      </c>
      <c r="E32" s="111">
        <v>11715</v>
      </c>
      <c r="F32" s="111">
        <f t="shared" si="4"/>
        <v>10352.5</v>
      </c>
      <c r="G32" s="112">
        <f t="shared" si="5"/>
        <v>9557.75</v>
      </c>
      <c r="H32" s="110">
        <f t="shared" si="6"/>
        <v>12017.5</v>
      </c>
      <c r="I32" s="111">
        <f t="shared" si="7"/>
        <v>11129.25</v>
      </c>
      <c r="J32" s="111">
        <f t="shared" si="8"/>
        <v>9814.875</v>
      </c>
      <c r="K32" s="112">
        <f t="shared" si="9"/>
        <v>9059.8625</v>
      </c>
    </row>
    <row r="33" spans="1:11">
      <c r="A33" s="107">
        <v>7</v>
      </c>
      <c r="B33" s="108" t="s">
        <v>51</v>
      </c>
      <c r="C33" s="109"/>
      <c r="D33" s="110">
        <v>15400</v>
      </c>
      <c r="E33" s="111">
        <v>14146</v>
      </c>
      <c r="F33" s="111">
        <f t="shared" si="4"/>
        <v>12690</v>
      </c>
      <c r="G33" s="112">
        <f t="shared" si="5"/>
        <v>11624.1</v>
      </c>
      <c r="H33" s="110">
        <f t="shared" si="6"/>
        <v>14630</v>
      </c>
      <c r="I33" s="111">
        <f t="shared" si="7"/>
        <v>13438.7</v>
      </c>
      <c r="J33" s="111">
        <f t="shared" si="8"/>
        <v>12035.5</v>
      </c>
      <c r="K33" s="112">
        <f t="shared" si="9"/>
        <v>11022.895</v>
      </c>
    </row>
    <row r="34" spans="1:11">
      <c r="A34" s="107">
        <v>8</v>
      </c>
      <c r="B34" s="108" t="s">
        <v>52</v>
      </c>
      <c r="C34" s="109"/>
      <c r="D34" s="110">
        <v>15400</v>
      </c>
      <c r="E34" s="111">
        <v>14146</v>
      </c>
      <c r="F34" s="111">
        <f t="shared" si="4"/>
        <v>12690</v>
      </c>
      <c r="G34" s="112">
        <f t="shared" si="5"/>
        <v>11624.1</v>
      </c>
      <c r="H34" s="110">
        <f t="shared" si="6"/>
        <v>14630</v>
      </c>
      <c r="I34" s="111">
        <f t="shared" si="7"/>
        <v>13438.7</v>
      </c>
      <c r="J34" s="111">
        <f t="shared" si="8"/>
        <v>12035.5</v>
      </c>
      <c r="K34" s="112">
        <f t="shared" si="9"/>
        <v>11022.895</v>
      </c>
    </row>
    <row r="35" spans="1:11">
      <c r="A35" s="107">
        <v>9</v>
      </c>
      <c r="B35" s="108" t="s">
        <v>53</v>
      </c>
      <c r="C35" s="109"/>
      <c r="D35" s="110">
        <v>17050</v>
      </c>
      <c r="E35" s="111">
        <v>15180</v>
      </c>
      <c r="F35" s="111">
        <f t="shared" si="4"/>
        <v>14092.5</v>
      </c>
      <c r="G35" s="112">
        <f t="shared" si="5"/>
        <v>12503</v>
      </c>
      <c r="H35" s="110">
        <f t="shared" si="6"/>
        <v>16197.5</v>
      </c>
      <c r="I35" s="111">
        <f t="shared" si="7"/>
        <v>14421</v>
      </c>
      <c r="J35" s="111">
        <f t="shared" si="8"/>
        <v>13367.875</v>
      </c>
      <c r="K35" s="112">
        <f t="shared" si="9"/>
        <v>11857.85</v>
      </c>
    </row>
    <row r="36" spans="1:11">
      <c r="A36" s="107">
        <v>10</v>
      </c>
      <c r="B36" s="108" t="s">
        <v>54</v>
      </c>
      <c r="C36" s="109"/>
      <c r="D36" s="110">
        <v>17050</v>
      </c>
      <c r="E36" s="111">
        <v>15180</v>
      </c>
      <c r="F36" s="111">
        <f t="shared" si="4"/>
        <v>14092.5</v>
      </c>
      <c r="G36" s="112">
        <f t="shared" si="5"/>
        <v>12503</v>
      </c>
      <c r="H36" s="110">
        <f t="shared" si="6"/>
        <v>16197.5</v>
      </c>
      <c r="I36" s="111">
        <f t="shared" si="7"/>
        <v>14421</v>
      </c>
      <c r="J36" s="111">
        <f t="shared" si="8"/>
        <v>13367.875</v>
      </c>
      <c r="K36" s="112">
        <f t="shared" si="9"/>
        <v>11857.85</v>
      </c>
    </row>
    <row r="37" spans="1:11">
      <c r="A37" s="107">
        <v>11</v>
      </c>
      <c r="B37" s="108" t="s">
        <v>55</v>
      </c>
      <c r="C37" s="109"/>
      <c r="D37" s="110">
        <v>21010</v>
      </c>
      <c r="E37" s="111">
        <v>18900</v>
      </c>
      <c r="F37" s="111">
        <f t="shared" si="4"/>
        <v>17458.5</v>
      </c>
      <c r="G37" s="112">
        <f t="shared" si="5"/>
        <v>15665</v>
      </c>
      <c r="H37" s="110">
        <f t="shared" si="6"/>
        <v>19959.5</v>
      </c>
      <c r="I37" s="111">
        <f t="shared" si="7"/>
        <v>17955</v>
      </c>
      <c r="J37" s="111">
        <f t="shared" si="8"/>
        <v>16565.575</v>
      </c>
      <c r="K37" s="112">
        <f t="shared" si="9"/>
        <v>14861.75</v>
      </c>
    </row>
    <row r="38" spans="1:11">
      <c r="A38" s="107">
        <v>12</v>
      </c>
      <c r="B38" s="108" t="s">
        <v>56</v>
      </c>
      <c r="C38" s="109"/>
      <c r="D38" s="110">
        <v>21010</v>
      </c>
      <c r="E38" s="111">
        <v>18900</v>
      </c>
      <c r="F38" s="111">
        <f t="shared" si="4"/>
        <v>17458.5</v>
      </c>
      <c r="G38" s="112">
        <f t="shared" si="5"/>
        <v>15665</v>
      </c>
      <c r="H38" s="110">
        <f t="shared" si="6"/>
        <v>19959.5</v>
      </c>
      <c r="I38" s="111">
        <f t="shared" si="7"/>
        <v>17955</v>
      </c>
      <c r="J38" s="111">
        <f t="shared" si="8"/>
        <v>16565.575</v>
      </c>
      <c r="K38" s="112">
        <f t="shared" si="9"/>
        <v>14861.75</v>
      </c>
    </row>
    <row r="39" spans="1:11">
      <c r="A39" s="107">
        <v>13</v>
      </c>
      <c r="B39" s="108" t="s">
        <v>57</v>
      </c>
      <c r="C39" s="109"/>
      <c r="D39" s="110">
        <v>29700</v>
      </c>
      <c r="E39" s="111">
        <v>27940</v>
      </c>
      <c r="F39" s="111">
        <f t="shared" si="4"/>
        <v>24845</v>
      </c>
      <c r="G39" s="112">
        <f t="shared" si="5"/>
        <v>23349</v>
      </c>
      <c r="H39" s="110">
        <f t="shared" si="6"/>
        <v>28215</v>
      </c>
      <c r="I39" s="111">
        <f t="shared" si="7"/>
        <v>26543</v>
      </c>
      <c r="J39" s="111">
        <f t="shared" si="8"/>
        <v>23582.75</v>
      </c>
      <c r="K39" s="112">
        <f t="shared" si="9"/>
        <v>22161.55</v>
      </c>
    </row>
    <row r="40" spans="1:11">
      <c r="A40" s="107">
        <v>14</v>
      </c>
      <c r="B40" s="108" t="s">
        <v>58</v>
      </c>
      <c r="C40" s="109"/>
      <c r="D40" s="110">
        <v>29700</v>
      </c>
      <c r="E40" s="111">
        <v>27940</v>
      </c>
      <c r="F40" s="111">
        <f t="shared" si="4"/>
        <v>24845</v>
      </c>
      <c r="G40" s="112">
        <f t="shared" si="5"/>
        <v>23349</v>
      </c>
      <c r="H40" s="110">
        <f t="shared" si="6"/>
        <v>28215</v>
      </c>
      <c r="I40" s="111">
        <f t="shared" si="7"/>
        <v>26543</v>
      </c>
      <c r="J40" s="111">
        <f t="shared" si="8"/>
        <v>23582.75</v>
      </c>
      <c r="K40" s="112">
        <f t="shared" si="9"/>
        <v>22161.55</v>
      </c>
    </row>
    <row r="41" spans="1:11">
      <c r="A41" s="107">
        <v>15</v>
      </c>
      <c r="B41" s="108" t="s">
        <v>59</v>
      </c>
      <c r="C41" s="109"/>
      <c r="D41" s="110">
        <v>33660</v>
      </c>
      <c r="E41" s="111">
        <v>30800</v>
      </c>
      <c r="F41" s="111">
        <f t="shared" si="4"/>
        <v>28211</v>
      </c>
      <c r="G41" s="112">
        <f t="shared" si="5"/>
        <v>25780</v>
      </c>
      <c r="H41" s="110">
        <f t="shared" si="6"/>
        <v>31977</v>
      </c>
      <c r="I41" s="111">
        <f t="shared" si="7"/>
        <v>29260</v>
      </c>
      <c r="J41" s="111">
        <f t="shared" si="8"/>
        <v>26780.45</v>
      </c>
      <c r="K41" s="112">
        <f t="shared" si="9"/>
        <v>24471</v>
      </c>
    </row>
    <row r="42" s="1" customFormat="1" spans="1:11">
      <c r="A42" s="107">
        <v>16</v>
      </c>
      <c r="B42" s="108" t="s">
        <v>60</v>
      </c>
      <c r="C42" s="109"/>
      <c r="D42" s="110">
        <v>33660</v>
      </c>
      <c r="E42" s="111">
        <v>30800</v>
      </c>
      <c r="F42" s="111">
        <f t="shared" si="4"/>
        <v>28211</v>
      </c>
      <c r="G42" s="112">
        <f t="shared" si="5"/>
        <v>25780</v>
      </c>
      <c r="H42" s="113">
        <f t="shared" si="6"/>
        <v>31977</v>
      </c>
      <c r="I42" s="114">
        <f t="shared" si="7"/>
        <v>29260</v>
      </c>
      <c r="J42" s="114">
        <f t="shared" si="8"/>
        <v>26780.45</v>
      </c>
      <c r="K42" s="115">
        <f t="shared" si="9"/>
        <v>24471</v>
      </c>
    </row>
    <row r="43" spans="1:11">
      <c r="A43" s="107">
        <v>17</v>
      </c>
      <c r="B43" s="108" t="s">
        <v>61</v>
      </c>
      <c r="C43" s="109"/>
      <c r="D43" s="110">
        <v>37400</v>
      </c>
      <c r="E43" s="111">
        <v>34430</v>
      </c>
      <c r="F43" s="111">
        <f t="shared" si="4"/>
        <v>31390</v>
      </c>
      <c r="G43" s="112">
        <f t="shared" si="5"/>
        <v>28865.5</v>
      </c>
      <c r="H43" s="110">
        <f t="shared" si="6"/>
        <v>35530</v>
      </c>
      <c r="I43" s="111">
        <f t="shared" si="7"/>
        <v>32708.5</v>
      </c>
      <c r="J43" s="111">
        <f t="shared" si="8"/>
        <v>29800.5</v>
      </c>
      <c r="K43" s="112">
        <f t="shared" si="9"/>
        <v>27402.225</v>
      </c>
    </row>
    <row r="44" spans="1:11">
      <c r="A44" s="107">
        <v>18</v>
      </c>
      <c r="B44" s="108" t="s">
        <v>62</v>
      </c>
      <c r="C44" s="109"/>
      <c r="D44" s="110">
        <v>44000</v>
      </c>
      <c r="E44" s="111">
        <v>40700</v>
      </c>
      <c r="F44" s="111">
        <f t="shared" si="4"/>
        <v>37000</v>
      </c>
      <c r="G44" s="112">
        <f t="shared" si="5"/>
        <v>34195</v>
      </c>
      <c r="H44" s="110">
        <f t="shared" si="6"/>
        <v>41800</v>
      </c>
      <c r="I44" s="111">
        <f t="shared" si="7"/>
        <v>38665</v>
      </c>
      <c r="J44" s="111">
        <f t="shared" si="8"/>
        <v>35130</v>
      </c>
      <c r="K44" s="112">
        <f t="shared" si="9"/>
        <v>32465.25</v>
      </c>
    </row>
    <row r="45" s="1" customFormat="1" ht="15.25" spans="1:11">
      <c r="A45" s="107">
        <v>19</v>
      </c>
      <c r="B45" s="108" t="s">
        <v>63</v>
      </c>
      <c r="C45" s="109"/>
      <c r="D45" s="110">
        <v>49000</v>
      </c>
      <c r="E45" s="111">
        <v>45850</v>
      </c>
      <c r="F45" s="111">
        <f t="shared" si="4"/>
        <v>41250</v>
      </c>
      <c r="G45" s="112">
        <f t="shared" si="5"/>
        <v>38572.5</v>
      </c>
      <c r="H45" s="116">
        <f t="shared" si="6"/>
        <v>46550</v>
      </c>
      <c r="I45" s="117">
        <f t="shared" si="7"/>
        <v>43557.5</v>
      </c>
      <c r="J45" s="117">
        <f t="shared" si="8"/>
        <v>39167.5</v>
      </c>
      <c r="K45" s="118">
        <f t="shared" si="9"/>
        <v>36623.875</v>
      </c>
    </row>
    <row r="46" customFormat="1" ht="15" spans="1:11">
      <c r="A46" s="119"/>
      <c r="B46" s="120" t="s">
        <v>64</v>
      </c>
      <c r="C46" s="120"/>
      <c r="D46" s="121"/>
      <c r="E46" s="121"/>
      <c r="F46" s="121">
        <f>F45*1.15</f>
        <v>47437.5</v>
      </c>
      <c r="G46" s="122">
        <f>G45*1.2</f>
        <v>46287</v>
      </c>
      <c r="H46" s="123">
        <f>G46*1.15</f>
        <v>53230.05</v>
      </c>
      <c r="I46" s="121">
        <f>H46+8500</f>
        <v>61730.05</v>
      </c>
      <c r="J46" s="121"/>
      <c r="K46" s="122"/>
    </row>
    <row r="47" customFormat="1" ht="15" spans="1:11">
      <c r="A47" s="119"/>
      <c r="B47" s="120" t="s">
        <v>65</v>
      </c>
      <c r="C47" s="120"/>
      <c r="D47" s="121"/>
      <c r="E47" s="121"/>
      <c r="F47" s="121">
        <f>F46*1.2</f>
        <v>56925</v>
      </c>
      <c r="G47" s="122">
        <f>G46*1.2</f>
        <v>55544.4</v>
      </c>
      <c r="H47" s="123">
        <f>G45*1.15</f>
        <v>44358.375</v>
      </c>
      <c r="I47" s="121">
        <f>H47+8500</f>
        <v>52858.375</v>
      </c>
      <c r="J47" s="121"/>
      <c r="K47" s="122"/>
    </row>
    <row r="48" customFormat="1" ht="15" spans="1:11">
      <c r="A48" s="119"/>
      <c r="B48" s="120" t="s">
        <v>66</v>
      </c>
      <c r="C48" s="120"/>
      <c r="D48" s="121"/>
      <c r="E48" s="121"/>
      <c r="F48" s="121">
        <f>F47*1.2</f>
        <v>68310</v>
      </c>
      <c r="G48" s="122">
        <f>G47*1.15</f>
        <v>63876.06</v>
      </c>
      <c r="H48" s="123"/>
      <c r="I48" s="121"/>
      <c r="J48" s="121"/>
      <c r="K48" s="122"/>
    </row>
    <row r="49" customFormat="1" ht="15" spans="1:11">
      <c r="A49" s="119"/>
      <c r="B49" s="120" t="s">
        <v>67</v>
      </c>
      <c r="C49" s="120"/>
      <c r="D49" s="121"/>
      <c r="E49" s="121"/>
      <c r="F49" s="121">
        <f>F48*1.15</f>
        <v>78556.5</v>
      </c>
      <c r="G49" s="122">
        <f>G48*1.17</f>
        <v>74734.9902</v>
      </c>
      <c r="H49" s="123"/>
      <c r="I49" s="121"/>
      <c r="J49" s="121"/>
      <c r="K49" s="122"/>
    </row>
    <row r="50" customFormat="1" ht="15.75" spans="1:11">
      <c r="A50" s="119"/>
      <c r="B50" s="120" t="s">
        <v>68</v>
      </c>
      <c r="C50" s="120"/>
      <c r="D50" s="121"/>
      <c r="E50" s="121"/>
      <c r="F50" s="121">
        <v>90340</v>
      </c>
      <c r="G50" s="122">
        <f>G49*1.2</f>
        <v>89681.98824</v>
      </c>
      <c r="H50" s="123"/>
      <c r="I50" s="121"/>
      <c r="J50" s="121"/>
      <c r="K50" s="122"/>
    </row>
    <row r="51" spans="1:11">
      <c r="A51" s="124"/>
      <c r="B51" s="119"/>
      <c r="C51" s="125"/>
      <c r="D51" s="126" t="s">
        <v>26</v>
      </c>
      <c r="E51" s="126"/>
      <c r="F51" s="126" t="s">
        <v>26</v>
      </c>
      <c r="G51" s="127"/>
      <c r="H51" s="128" t="s">
        <v>26</v>
      </c>
      <c r="I51" s="126"/>
      <c r="J51" s="126" t="s">
        <v>26</v>
      </c>
      <c r="K51" s="127"/>
    </row>
    <row r="52" ht="15.25" spans="1:11">
      <c r="A52" s="129"/>
      <c r="B52" s="130"/>
      <c r="C52" s="131"/>
      <c r="D52" s="132" t="s">
        <v>27</v>
      </c>
      <c r="E52" s="132"/>
      <c r="F52" s="132"/>
      <c r="G52" s="133"/>
      <c r="H52" s="134" t="s">
        <v>28</v>
      </c>
      <c r="I52" s="132"/>
      <c r="J52" s="132"/>
      <c r="K52" s="133"/>
    </row>
    <row r="53" spans="1:11">
      <c r="A53" s="135">
        <v>1</v>
      </c>
      <c r="B53" s="136" t="s">
        <v>69</v>
      </c>
      <c r="C53" s="137"/>
      <c r="D53" s="138">
        <v>1850</v>
      </c>
      <c r="E53" s="139">
        <v>1650</v>
      </c>
      <c r="F53" s="139">
        <f>D53*0.8-100</f>
        <v>1380</v>
      </c>
      <c r="G53" s="140">
        <f t="shared" ref="G53:G62" si="10">E53*0.8-100</f>
        <v>1220</v>
      </c>
      <c r="H53" s="138">
        <f t="shared" ref="H53:H62" si="11">D53*0.95</f>
        <v>1757.5</v>
      </c>
      <c r="I53" s="139">
        <f t="shared" ref="I53:I62" si="12">E53*0.95</f>
        <v>1567.5</v>
      </c>
      <c r="J53" s="139">
        <f t="shared" ref="J53:J62" si="13">F53*0.9</f>
        <v>1242</v>
      </c>
      <c r="K53" s="140">
        <f t="shared" ref="K53:K62" si="14">G53*0.9</f>
        <v>1098</v>
      </c>
    </row>
    <row r="54" spans="1:11">
      <c r="A54" s="141">
        <v>2</v>
      </c>
      <c r="B54" s="136" t="s">
        <v>70</v>
      </c>
      <c r="C54" s="137"/>
      <c r="D54" s="142">
        <v>1980</v>
      </c>
      <c r="E54" s="143">
        <v>1770</v>
      </c>
      <c r="F54" s="143">
        <f t="shared" ref="F54:F62" si="15">D54*0.8-100</f>
        <v>1484</v>
      </c>
      <c r="G54" s="144">
        <f t="shared" si="10"/>
        <v>1316</v>
      </c>
      <c r="H54" s="142">
        <f t="shared" si="11"/>
        <v>1881</v>
      </c>
      <c r="I54" s="143">
        <f t="shared" si="12"/>
        <v>1681.5</v>
      </c>
      <c r="J54" s="143">
        <f t="shared" si="13"/>
        <v>1335.6</v>
      </c>
      <c r="K54" s="144">
        <f t="shared" si="14"/>
        <v>1184.4</v>
      </c>
    </row>
    <row r="55" spans="1:11">
      <c r="A55" s="135">
        <v>3</v>
      </c>
      <c r="B55" s="136" t="s">
        <v>71</v>
      </c>
      <c r="C55" s="137"/>
      <c r="D55" s="142">
        <v>2550</v>
      </c>
      <c r="E55" s="143">
        <v>2280</v>
      </c>
      <c r="F55" s="143">
        <f t="shared" si="15"/>
        <v>1940</v>
      </c>
      <c r="G55" s="144">
        <f t="shared" si="10"/>
        <v>1724</v>
      </c>
      <c r="H55" s="142">
        <f t="shared" si="11"/>
        <v>2422.5</v>
      </c>
      <c r="I55" s="143">
        <f t="shared" si="12"/>
        <v>2166</v>
      </c>
      <c r="J55" s="143">
        <f t="shared" si="13"/>
        <v>1746</v>
      </c>
      <c r="K55" s="144">
        <f t="shared" si="14"/>
        <v>1551.6</v>
      </c>
    </row>
    <row r="56" spans="1:11">
      <c r="A56" s="141">
        <v>4</v>
      </c>
      <c r="B56" s="136" t="s">
        <v>72</v>
      </c>
      <c r="C56" s="137"/>
      <c r="D56" s="142">
        <v>2900</v>
      </c>
      <c r="E56" s="143">
        <v>2600</v>
      </c>
      <c r="F56" s="143">
        <f t="shared" si="15"/>
        <v>2220</v>
      </c>
      <c r="G56" s="144">
        <f t="shared" si="10"/>
        <v>1980</v>
      </c>
      <c r="H56" s="142">
        <f t="shared" si="11"/>
        <v>2755</v>
      </c>
      <c r="I56" s="143">
        <f t="shared" si="12"/>
        <v>2470</v>
      </c>
      <c r="J56" s="143">
        <f t="shared" si="13"/>
        <v>1998</v>
      </c>
      <c r="K56" s="144">
        <f t="shared" si="14"/>
        <v>1782</v>
      </c>
    </row>
    <row r="57" spans="1:11">
      <c r="A57" s="135">
        <v>5</v>
      </c>
      <c r="B57" s="136" t="s">
        <v>73</v>
      </c>
      <c r="C57" s="137"/>
      <c r="D57" s="142">
        <v>3600</v>
      </c>
      <c r="E57" s="143">
        <v>3300</v>
      </c>
      <c r="F57" s="143">
        <f t="shared" si="15"/>
        <v>2780</v>
      </c>
      <c r="G57" s="144">
        <f t="shared" si="10"/>
        <v>2540</v>
      </c>
      <c r="H57" s="142">
        <f t="shared" si="11"/>
        <v>3420</v>
      </c>
      <c r="I57" s="143">
        <f t="shared" si="12"/>
        <v>3135</v>
      </c>
      <c r="J57" s="143">
        <f t="shared" si="13"/>
        <v>2502</v>
      </c>
      <c r="K57" s="144">
        <f t="shared" si="14"/>
        <v>2286</v>
      </c>
    </row>
    <row r="58" spans="1:11">
      <c r="A58" s="141">
        <v>6</v>
      </c>
      <c r="B58" s="136" t="s">
        <v>74</v>
      </c>
      <c r="C58" s="137"/>
      <c r="D58" s="142">
        <v>3600</v>
      </c>
      <c r="E58" s="143">
        <v>3300</v>
      </c>
      <c r="F58" s="143">
        <f t="shared" si="15"/>
        <v>2780</v>
      </c>
      <c r="G58" s="144">
        <f t="shared" si="10"/>
        <v>2540</v>
      </c>
      <c r="H58" s="142">
        <f t="shared" si="11"/>
        <v>3420</v>
      </c>
      <c r="I58" s="143">
        <f t="shared" si="12"/>
        <v>3135</v>
      </c>
      <c r="J58" s="143">
        <f t="shared" si="13"/>
        <v>2502</v>
      </c>
      <c r="K58" s="144">
        <f t="shared" si="14"/>
        <v>2286</v>
      </c>
    </row>
    <row r="59" spans="1:11">
      <c r="A59" s="135">
        <v>7</v>
      </c>
      <c r="B59" s="136" t="s">
        <v>75</v>
      </c>
      <c r="C59" s="137"/>
      <c r="D59" s="142">
        <v>4500</v>
      </c>
      <c r="E59" s="143">
        <v>4200</v>
      </c>
      <c r="F59" s="143">
        <f t="shared" si="15"/>
        <v>3500</v>
      </c>
      <c r="G59" s="144">
        <f t="shared" si="10"/>
        <v>3260</v>
      </c>
      <c r="H59" s="142">
        <f t="shared" si="11"/>
        <v>4275</v>
      </c>
      <c r="I59" s="143">
        <f t="shared" si="12"/>
        <v>3990</v>
      </c>
      <c r="J59" s="143">
        <f t="shared" si="13"/>
        <v>3150</v>
      </c>
      <c r="K59" s="144">
        <f t="shared" si="14"/>
        <v>2934</v>
      </c>
    </row>
    <row r="60" spans="1:11">
      <c r="A60" s="141">
        <v>8</v>
      </c>
      <c r="B60" s="136" t="s">
        <v>76</v>
      </c>
      <c r="C60" s="137"/>
      <c r="D60" s="142">
        <v>5600</v>
      </c>
      <c r="E60" s="145">
        <v>5200</v>
      </c>
      <c r="F60" s="145">
        <f t="shared" si="15"/>
        <v>4380</v>
      </c>
      <c r="G60" s="144">
        <f t="shared" si="10"/>
        <v>4060</v>
      </c>
      <c r="H60" s="142">
        <f t="shared" si="11"/>
        <v>5320</v>
      </c>
      <c r="I60" s="145">
        <f t="shared" si="12"/>
        <v>4940</v>
      </c>
      <c r="J60" s="145">
        <f t="shared" si="13"/>
        <v>3942</v>
      </c>
      <c r="K60" s="144">
        <f t="shared" si="14"/>
        <v>3654</v>
      </c>
    </row>
    <row r="61" spans="1:11">
      <c r="A61" s="135">
        <v>9</v>
      </c>
      <c r="B61" s="136" t="s">
        <v>77</v>
      </c>
      <c r="C61" s="137"/>
      <c r="D61" s="142">
        <f>F61*1.2+400</f>
        <v>6496</v>
      </c>
      <c r="E61" s="143">
        <f>G61*1.2+400</f>
        <v>5776</v>
      </c>
      <c r="F61" s="143">
        <f>G61+600</f>
        <v>5080</v>
      </c>
      <c r="G61" s="144">
        <v>4480</v>
      </c>
      <c r="H61" s="142">
        <f t="shared" si="11"/>
        <v>6171.2</v>
      </c>
      <c r="I61" s="143">
        <f t="shared" si="12"/>
        <v>5487.2</v>
      </c>
      <c r="J61" s="143">
        <f>F61*0.95</f>
        <v>4826</v>
      </c>
      <c r="K61" s="144">
        <f>G61*0.95</f>
        <v>4256</v>
      </c>
    </row>
    <row r="62" ht="15.25" spans="1:11">
      <c r="A62" s="141">
        <v>10</v>
      </c>
      <c r="B62" s="136" t="s">
        <v>78</v>
      </c>
      <c r="C62" s="137"/>
      <c r="D62" s="146">
        <f>F62*1.2+400</f>
        <v>7840</v>
      </c>
      <c r="E62" s="147">
        <f>G62*1.2+400</f>
        <v>7000</v>
      </c>
      <c r="F62" s="147">
        <f>G62+700</f>
        <v>6200</v>
      </c>
      <c r="G62" s="148">
        <v>5500</v>
      </c>
      <c r="H62" s="146">
        <f t="shared" si="11"/>
        <v>7448</v>
      </c>
      <c r="I62" s="147">
        <f t="shared" si="12"/>
        <v>6650</v>
      </c>
      <c r="J62" s="147">
        <f>F62*0.95</f>
        <v>5890</v>
      </c>
      <c r="K62" s="148">
        <f>G62*0.95</f>
        <v>5225</v>
      </c>
    </row>
  </sheetData>
  <mergeCells count="106">
    <mergeCell ref="A1:AH1"/>
    <mergeCell ref="B2:G2"/>
    <mergeCell ref="H2:Z2"/>
    <mergeCell ref="AA2:AH2"/>
    <mergeCell ref="B7:C7"/>
    <mergeCell ref="D7:G7"/>
    <mergeCell ref="H7:I7"/>
    <mergeCell ref="J7:Q7"/>
    <mergeCell ref="R7:S7"/>
    <mergeCell ref="T7:Z7"/>
    <mergeCell ref="AA7:AC7"/>
    <mergeCell ref="AD7:AH7"/>
    <mergeCell ref="B9:G9"/>
    <mergeCell ref="H9:Z9"/>
    <mergeCell ref="AA9:AH9"/>
    <mergeCell ref="I10:J10"/>
    <mergeCell ref="L10:M10"/>
    <mergeCell ref="N10:O10"/>
    <mergeCell ref="P10:Q10"/>
    <mergeCell ref="R10:S10"/>
    <mergeCell ref="T10:U10"/>
    <mergeCell ref="V10:W10"/>
    <mergeCell ref="I11:J11"/>
    <mergeCell ref="L11:M11"/>
    <mergeCell ref="N11:O11"/>
    <mergeCell ref="P11:Q11"/>
    <mergeCell ref="R11:S11"/>
    <mergeCell ref="T11:U11"/>
    <mergeCell ref="V11:W11"/>
    <mergeCell ref="I12:J12"/>
    <mergeCell ref="L12:M12"/>
    <mergeCell ref="N12:O12"/>
    <mergeCell ref="P12:Q12"/>
    <mergeCell ref="R12:S12"/>
    <mergeCell ref="T12:U12"/>
    <mergeCell ref="V12:W12"/>
    <mergeCell ref="I13:J13"/>
    <mergeCell ref="L13:M13"/>
    <mergeCell ref="N13:O13"/>
    <mergeCell ref="P13:Q13"/>
    <mergeCell ref="R13:S13"/>
    <mergeCell ref="T13:U13"/>
    <mergeCell ref="V13:W13"/>
    <mergeCell ref="D14:E14"/>
    <mergeCell ref="F14:G14"/>
    <mergeCell ref="H14:I14"/>
    <mergeCell ref="J14:K14"/>
    <mergeCell ref="D15:G15"/>
    <mergeCell ref="H15:K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D25:E25"/>
    <mergeCell ref="F25:G25"/>
    <mergeCell ref="H25:I25"/>
    <mergeCell ref="J25:K25"/>
    <mergeCell ref="D26:G26"/>
    <mergeCell ref="H26:K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D51:E51"/>
    <mergeCell ref="F51:G51"/>
    <mergeCell ref="H51:I51"/>
    <mergeCell ref="J51:K51"/>
    <mergeCell ref="D52:G52"/>
    <mergeCell ref="H52:K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25:C26"/>
    <mergeCell ref="A51:C52"/>
  </mergeCells>
  <pageMargins left="0.75" right="0.75" top="1" bottom="1" header="0.5" footer="0.5"/>
  <pageSetup paperSize="9" orientation="portrait"/>
  <headerFooter/>
  <ignoredErrors>
    <ignoredError sqref="C4" twoDigitTextYea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有的放矢</cp:lastModifiedBy>
  <dcterms:created xsi:type="dcterms:W3CDTF">2014-01-15T04:06:00Z</dcterms:created>
  <dcterms:modified xsi:type="dcterms:W3CDTF">2026-02-06T07:01:28Z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CF338D6A86B94656B4D44A8FCA70FEDD_13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