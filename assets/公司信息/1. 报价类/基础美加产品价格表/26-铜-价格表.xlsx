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<sst xmlns="http://schemas.openxmlformats.org/spreadsheetml/2006/main" count="166" uniqueCount="91">
  <si>
    <t>Single Phase Pad-Mounted</t>
  </si>
  <si>
    <t>Three Phase Pad-Mounted</t>
  </si>
  <si>
    <t>Single Phase Pole-Mounted</t>
  </si>
  <si>
    <t>Item Number</t>
  </si>
  <si>
    <t>KVA Size</t>
  </si>
  <si>
    <t>37-1/2</t>
  </si>
  <si>
    <t>112-1/2</t>
  </si>
  <si>
    <t>Sec. Voltage</t>
  </si>
  <si>
    <t>240/120</t>
  </si>
  <si>
    <t>208/120</t>
  </si>
  <si>
    <t>480/277</t>
  </si>
  <si>
    <t>240/480</t>
  </si>
  <si>
    <t>Leadtime ARO (wks)</t>
  </si>
  <si>
    <t>Impedance Z%</t>
  </si>
  <si>
    <t>1.5%-2.5%</t>
  </si>
  <si>
    <t>1.7%-3.0%</t>
  </si>
  <si>
    <t>2.7%-3.5%</t>
  </si>
  <si>
    <t>3.1%-4.5%</t>
  </si>
  <si>
    <t>4.5%-5.5%</t>
  </si>
  <si>
    <t>Net Weight (Lbs)</t>
  </si>
  <si>
    <t>Temp Rise at Rated kVA</t>
  </si>
  <si>
    <t>65K</t>
  </si>
  <si>
    <t>Max % Reg at Rated kVA,       100% Power Factor</t>
  </si>
  <si>
    <t>Max % Reg at Rated kVA,         85% Power Factor</t>
  </si>
  <si>
    <t>No-Load Loss (kW)</t>
  </si>
  <si>
    <t>Load Loss (kW)</t>
  </si>
  <si>
    <t xml:space="preserve">HV - 7.2-13.8KV  CU-CU </t>
  </si>
  <si>
    <t>1-10 units price</t>
  </si>
  <si>
    <t>above 10 units price</t>
  </si>
  <si>
    <t>LINE</t>
  </si>
  <si>
    <t>DESCRIPTION</t>
  </si>
  <si>
    <t>(DDP) FR3</t>
  </si>
  <si>
    <t>(DDP) MINERAL</t>
  </si>
  <si>
    <t>(FOB) FR3</t>
  </si>
  <si>
    <t>(FOB) MINERAL</t>
  </si>
  <si>
    <t>15KVA, PAD, 1P, 240/120</t>
  </si>
  <si>
    <t>25KVA, PAD, 1P, 240/120</t>
  </si>
  <si>
    <t>37-1/2, PAD, 1P, 240/120</t>
  </si>
  <si>
    <t>50KVA, PAD, 1P, 240/120</t>
  </si>
  <si>
    <t>75KVA, PAD, 1P, 240/120</t>
  </si>
  <si>
    <t>100KVA, PAD, 1P, 240/120</t>
  </si>
  <si>
    <t>167KVA, PAD, 1P, 240/120</t>
  </si>
  <si>
    <t>250KVA, PAD, 1P, 240/120</t>
  </si>
  <si>
    <t>333KVA, PAD, 1P, 240/120</t>
  </si>
  <si>
    <t xml:space="preserve">1-5 units price </t>
  </si>
  <si>
    <t xml:space="preserve">above 5 units price </t>
  </si>
  <si>
    <t xml:space="preserve"> 45KVA, PAD, 3P, 208/120</t>
  </si>
  <si>
    <t xml:space="preserve"> 75KVA, PAD, 3P, 208/120</t>
  </si>
  <si>
    <t xml:space="preserve"> 112KVA, PAD, 3P, 208/120</t>
  </si>
  <si>
    <t xml:space="preserve"> 150KVA, PAD, 3P, 208/120</t>
  </si>
  <si>
    <t xml:space="preserve"> 225KVA, PAD, 3P, 208/120</t>
  </si>
  <si>
    <t xml:space="preserve"> 300KVA, PAD, 3P, 208/120</t>
  </si>
  <si>
    <t xml:space="preserve"> 500KVA, PAD, 3P, 208/120</t>
  </si>
  <si>
    <t xml:space="preserve"> 750KVA, PAD, 3P, 208/120</t>
  </si>
  <si>
    <t>1000KVA, PAD, 3P, 208/120</t>
  </si>
  <si>
    <t>1500KVA, PAD, 3P, 480/277</t>
  </si>
  <si>
    <t>2000KVA, PAD, 3P, 480/277</t>
  </si>
  <si>
    <t>2500KVA, PAD, 3P, 480/277</t>
  </si>
  <si>
    <t>15KVA, POLE, 1P, 120/240</t>
  </si>
  <si>
    <t>25KVA, POLE, 1P, 120/240</t>
  </si>
  <si>
    <t>37.5KVA, POLE, 1P, 120/240</t>
  </si>
  <si>
    <t>50KVA, POLE, 1P, 120/240</t>
  </si>
  <si>
    <t>75KVA, POLE, 1P, 120/240</t>
  </si>
  <si>
    <t>75KVA, POLE, 1P, 240/480</t>
  </si>
  <si>
    <t>100KVA, POLE, 1P, 120/240</t>
  </si>
  <si>
    <t>167KVA, POLE, 1P, 120/240</t>
  </si>
  <si>
    <t>250KVA, POLE, 1P, 120/240</t>
  </si>
  <si>
    <t>333KVA, POLE, 1P, 120/240</t>
  </si>
  <si>
    <t xml:space="preserve">HV - 7.2-13.8KV  AL-AL </t>
  </si>
  <si>
    <t xml:space="preserve"> 45KVA, SUB, 3P, 208/120</t>
  </si>
  <si>
    <t xml:space="preserve"> 75KVA, SUB, 3P, 208/120</t>
  </si>
  <si>
    <t xml:space="preserve"> 112.5KVA, SUB, 3P, 208/120</t>
  </si>
  <si>
    <t xml:space="preserve"> 150KVA, SUB, 3P, 208/120</t>
  </si>
  <si>
    <t xml:space="preserve"> 225KVA, SUB, 3P, 208/120</t>
  </si>
  <si>
    <t xml:space="preserve"> 300KVA, SUB, 3P, 208/120</t>
  </si>
  <si>
    <t xml:space="preserve"> 500KVA, SUB, 3P, 208/120</t>
  </si>
  <si>
    <t xml:space="preserve"> 750KVA, SUB, 3P, 208/120</t>
  </si>
  <si>
    <t>1000KVA, SUB, 3P, 208/120</t>
  </si>
  <si>
    <t>1500KVA, SUB, 3P, 480/277</t>
  </si>
  <si>
    <t>2000KVA, SUB, 3P, 480/277</t>
  </si>
  <si>
    <t>2500KVA, SUB, 3P, 480/277</t>
  </si>
  <si>
    <t>3000KVA, SUB, 3P, 208/120</t>
  </si>
  <si>
    <t>3150KVA, SUB, 3P, 480/277</t>
  </si>
  <si>
    <t>4000KVA, SUB, 3P, 480/277</t>
  </si>
  <si>
    <t>5000KVA, SUB, 3P, 480/277</t>
  </si>
  <si>
    <t>注意：小主变价格基于基本配置，进出线方式不限制，不含配电箱等特殊要求，如客户有特殊配置要求，请咨询工程师团队</t>
  </si>
  <si>
    <t>标准配置：</t>
  </si>
  <si>
    <r>
      <rPr>
        <sz val="11"/>
        <color theme="1"/>
        <rFont val="Calibri"/>
        <charset val="134"/>
      </rPr>
      <t xml:space="preserve">1,COOPER /Chardon fuse, </t>
    </r>
    <r>
      <rPr>
        <sz val="11"/>
        <color theme="1"/>
        <rFont val="宋体"/>
        <charset val="134"/>
      </rPr>
      <t>要注意这两个品牌的交期，如果交期太长，可推荐厚德</t>
    </r>
    <r>
      <rPr>
        <sz val="11"/>
        <color theme="1"/>
        <rFont val="Calibri"/>
        <charset val="134"/>
      </rPr>
      <t>Fuse</t>
    </r>
  </si>
  <si>
    <r>
      <rPr>
        <sz val="11"/>
        <color theme="1"/>
        <rFont val="Calibri"/>
        <charset val="134"/>
      </rPr>
      <t>2, Chardon/HJ bushing,</t>
    </r>
    <r>
      <rPr>
        <sz val="11"/>
        <color theme="1"/>
        <rFont val="宋体"/>
        <charset val="134"/>
      </rPr>
      <t>要注意这两个品牌的交期，如果交期太长，可推荐舍达或国内其他品牌</t>
    </r>
  </si>
  <si>
    <r>
      <rPr>
        <sz val="11"/>
        <color theme="1"/>
        <rFont val="Calibri"/>
        <charset val="134"/>
      </rPr>
      <t xml:space="preserve">HV 14.4-25KV , </t>
    </r>
    <r>
      <rPr>
        <sz val="11"/>
        <color theme="1"/>
        <rFont val="宋体"/>
        <charset val="134"/>
      </rPr>
      <t>加15个点，阻抗，损耗不同，咨询工程师</t>
    </r>
  </si>
  <si>
    <r>
      <rPr>
        <sz val="11"/>
        <color theme="1"/>
        <rFont val="Calibri"/>
        <charset val="134"/>
      </rPr>
      <t xml:space="preserve">HV 26-34.5KV, </t>
    </r>
    <r>
      <rPr>
        <sz val="11"/>
        <color theme="1"/>
        <rFont val="宋体"/>
        <charset val="134"/>
      </rPr>
      <t>加20个点，阻抗，损耗不同，咨询工程师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</si>
</sst>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;\-\$#,##0"/>
  </numFmts>
  <fonts count="25">
    <font>
      <sz val="12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3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3" fillId="0" borderId="3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35" applyNumberFormat="0" applyAlignment="0" applyProtection="0">
      <alignment vertical="center"/>
    </xf>
    <xf numFmtId="0" fontId="15" fillId="12" borderId="36" applyNumberFormat="0" applyAlignment="0" applyProtection="0">
      <alignment vertical="center"/>
    </xf>
    <xf numFmtId="0" fontId="16" fillId="12" borderId="35" applyNumberFormat="0" applyAlignment="0" applyProtection="0">
      <alignment vertical="center"/>
    </xf>
    <xf numFmtId="0" fontId="17" fillId="13" borderId="37" applyNumberFormat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0" borderId="39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57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0" fontId="3" fillId="3" borderId="14" xfId="0" applyNumberFormat="1" applyFont="1" applyFill="1" applyBorder="1" applyAlignment="1">
      <alignment horizontal="center" vertical="center"/>
    </xf>
    <xf numFmtId="10" fontId="3" fillId="3" borderId="12" xfId="0" applyNumberFormat="1" applyFont="1" applyFill="1" applyBorder="1" applyAlignment="1">
      <alignment horizontal="center" vertical="center"/>
    </xf>
    <xf numFmtId="10" fontId="3" fillId="3" borderId="1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0" fontId="3" fillId="2" borderId="8" xfId="0" applyNumberFormat="1" applyFont="1" applyFill="1" applyBorder="1" applyAlignment="1">
      <alignment horizontal="center" vertical="center"/>
    </xf>
    <xf numFmtId="10" fontId="3" fillId="3" borderId="8" xfId="0" applyNumberFormat="1" applyFont="1" applyFill="1" applyBorder="1" applyAlignment="1">
      <alignment horizontal="center" vertical="center" wrapText="1"/>
    </xf>
    <xf numFmtId="10" fontId="3" fillId="3" borderId="11" xfId="0" applyNumberFormat="1" applyFont="1" applyFill="1" applyBorder="1" applyAlignment="1">
      <alignment horizontal="center" vertical="center"/>
    </xf>
    <xf numFmtId="10" fontId="3" fillId="3" borderId="9" xfId="0" applyNumberFormat="1" applyFont="1" applyFill="1" applyBorder="1" applyAlignment="1">
      <alignment horizontal="center" vertical="center"/>
    </xf>
    <xf numFmtId="10" fontId="3" fillId="3" borderId="10" xfId="0" applyNumberFormat="1" applyFont="1" applyFill="1" applyBorder="1" applyAlignment="1">
      <alignment horizontal="center" vertical="center"/>
    </xf>
    <xf numFmtId="10" fontId="3" fillId="4" borderId="8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3" fillId="2" borderId="16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vertical="center"/>
    </xf>
    <xf numFmtId="0" fontId="1" fillId="5" borderId="21" xfId="0" applyFont="1" applyFill="1" applyBorder="1" applyAlignment="1">
      <alignment vertical="center"/>
    </xf>
    <xf numFmtId="0" fontId="1" fillId="5" borderId="22" xfId="0" applyFont="1" applyFill="1" applyBorder="1" applyAlignment="1">
      <alignment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left" vertical="center"/>
    </xf>
    <xf numFmtId="0" fontId="1" fillId="5" borderId="14" xfId="0" applyFont="1" applyFill="1" applyBorder="1" applyAlignment="1">
      <alignment horizontal="left" vertical="center"/>
    </xf>
    <xf numFmtId="176" fontId="1" fillId="5" borderId="1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176" fontId="1" fillId="5" borderId="3" xfId="0" applyNumberFormat="1" applyFont="1" applyFill="1" applyBorder="1" applyAlignment="1">
      <alignment horizontal="center" vertical="center"/>
    </xf>
    <xf numFmtId="176" fontId="1" fillId="5" borderId="26" xfId="0" applyNumberFormat="1" applyFont="1" applyFill="1" applyBorder="1" applyAlignment="1">
      <alignment horizontal="center" vertical="center"/>
    </xf>
    <xf numFmtId="176" fontId="1" fillId="5" borderId="0" xfId="0" applyNumberFormat="1" applyFont="1" applyFill="1" applyBorder="1" applyAlignment="1">
      <alignment horizontal="center" vertical="center"/>
    </xf>
    <xf numFmtId="176" fontId="1" fillId="5" borderId="27" xfId="0" applyNumberFormat="1" applyFont="1" applyFill="1" applyBorder="1" applyAlignment="1">
      <alignment horizontal="center" vertical="center"/>
    </xf>
    <xf numFmtId="176" fontId="1" fillId="5" borderId="20" xfId="0" applyNumberFormat="1" applyFont="1" applyFill="1" applyBorder="1" applyAlignment="1">
      <alignment horizontal="center" vertical="center"/>
    </xf>
    <xf numFmtId="176" fontId="1" fillId="5" borderId="21" xfId="0" applyNumberFormat="1" applyFont="1" applyFill="1" applyBorder="1" applyAlignment="1">
      <alignment horizontal="center" vertical="center"/>
    </xf>
    <xf numFmtId="176" fontId="1" fillId="5" borderId="22" xfId="0" applyNumberFormat="1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176" fontId="1" fillId="6" borderId="26" xfId="0" applyNumberFormat="1" applyFont="1" applyFill="1" applyBorder="1" applyAlignment="1">
      <alignment horizontal="center" vertical="center"/>
    </xf>
    <xf numFmtId="176" fontId="1" fillId="6" borderId="0" xfId="0" applyNumberFormat="1" applyFont="1" applyFill="1" applyBorder="1" applyAlignment="1">
      <alignment horizontal="center" vertical="center"/>
    </xf>
    <xf numFmtId="176" fontId="1" fillId="6" borderId="27" xfId="0" applyNumberFormat="1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left" vertical="center"/>
    </xf>
    <xf numFmtId="0" fontId="1" fillId="6" borderId="12" xfId="0" applyFont="1" applyFill="1" applyBorder="1" applyAlignment="1">
      <alignment horizontal="left" vertical="center"/>
    </xf>
    <xf numFmtId="176" fontId="1" fillId="6" borderId="1" xfId="0" applyNumberFormat="1" applyFont="1" applyFill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6" borderId="3" xfId="0" applyNumberFormat="1" applyFont="1" applyFill="1" applyBorder="1" applyAlignment="1">
      <alignment horizontal="center" vertical="center"/>
    </xf>
    <xf numFmtId="176" fontId="1" fillId="6" borderId="0" xfId="0" applyNumberFormat="1" applyFont="1" applyFill="1" applyAlignment="1">
      <alignment horizontal="center" vertical="center"/>
    </xf>
    <xf numFmtId="176" fontId="1" fillId="6" borderId="20" xfId="0" applyNumberFormat="1" applyFont="1" applyFill="1" applyBorder="1" applyAlignment="1">
      <alignment horizontal="center" vertical="center"/>
    </xf>
    <xf numFmtId="176" fontId="1" fillId="6" borderId="21" xfId="0" applyNumberFormat="1" applyFont="1" applyFill="1" applyBorder="1" applyAlignment="1">
      <alignment horizontal="center" vertical="center"/>
    </xf>
    <xf numFmtId="176" fontId="1" fillId="6" borderId="22" xfId="0" applyNumberFormat="1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left" vertical="center"/>
    </xf>
    <xf numFmtId="0" fontId="1" fillId="8" borderId="29" xfId="0" applyFont="1" applyFill="1" applyBorder="1" applyAlignment="1">
      <alignment horizontal="left" vertical="center"/>
    </xf>
    <xf numFmtId="176" fontId="1" fillId="8" borderId="1" xfId="0" applyNumberFormat="1" applyFont="1" applyFill="1" applyBorder="1" applyAlignment="1">
      <alignment horizontal="center" vertical="center"/>
    </xf>
    <xf numFmtId="176" fontId="1" fillId="8" borderId="2" xfId="0" applyNumberFormat="1" applyFont="1" applyFill="1" applyBorder="1" applyAlignment="1">
      <alignment horizontal="center" vertical="center"/>
    </xf>
    <xf numFmtId="176" fontId="1" fillId="8" borderId="3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176" fontId="1" fillId="8" borderId="26" xfId="0" applyNumberFormat="1" applyFont="1" applyFill="1" applyBorder="1" applyAlignment="1">
      <alignment horizontal="center" vertical="center"/>
    </xf>
    <xf numFmtId="176" fontId="1" fillId="8" borderId="0" xfId="0" applyNumberFormat="1" applyFont="1" applyFill="1" applyBorder="1" applyAlignment="1">
      <alignment horizontal="center" vertical="center"/>
    </xf>
    <xf numFmtId="176" fontId="1" fillId="8" borderId="0" xfId="0" applyNumberFormat="1" applyFont="1" applyFill="1" applyAlignment="1">
      <alignment horizontal="center" vertical="center"/>
    </xf>
    <xf numFmtId="176" fontId="1" fillId="8" borderId="27" xfId="0" applyNumberFormat="1" applyFont="1" applyFill="1" applyBorder="1" applyAlignment="1">
      <alignment horizontal="center" vertical="center"/>
    </xf>
    <xf numFmtId="176" fontId="1" fillId="8" borderId="20" xfId="0" applyNumberFormat="1" applyFont="1" applyFill="1" applyBorder="1" applyAlignment="1">
      <alignment horizontal="center" vertical="center"/>
    </xf>
    <xf numFmtId="176" fontId="1" fillId="8" borderId="21" xfId="0" applyNumberFormat="1" applyFont="1" applyFill="1" applyBorder="1" applyAlignment="1">
      <alignment horizontal="center" vertical="center"/>
    </xf>
    <xf numFmtId="176" fontId="1" fillId="8" borderId="22" xfId="0" applyNumberFormat="1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76" fontId="1" fillId="9" borderId="1" xfId="0" applyNumberFormat="1" applyFont="1" applyFill="1" applyBorder="1" applyAlignment="1">
      <alignment horizontal="center" vertical="center"/>
    </xf>
    <xf numFmtId="176" fontId="1" fillId="9" borderId="2" xfId="0" applyNumberFormat="1" applyFont="1" applyFill="1" applyBorder="1" applyAlignment="1">
      <alignment horizontal="center" vertical="center"/>
    </xf>
    <xf numFmtId="176" fontId="1" fillId="9" borderId="3" xfId="0" applyNumberFormat="1" applyFont="1" applyFill="1" applyBorder="1" applyAlignment="1">
      <alignment horizontal="center" vertical="center"/>
    </xf>
    <xf numFmtId="176" fontId="1" fillId="9" borderId="20" xfId="0" applyNumberFormat="1" applyFont="1" applyFill="1" applyBorder="1" applyAlignment="1">
      <alignment horizontal="center" vertical="center"/>
    </xf>
    <xf numFmtId="176" fontId="1" fillId="9" borderId="21" xfId="0" applyNumberFormat="1" applyFont="1" applyFill="1" applyBorder="1" applyAlignment="1">
      <alignment horizontal="center" vertical="center"/>
    </xf>
    <xf numFmtId="176" fontId="1" fillId="9" borderId="22" xfId="0" applyNumberFormat="1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left" vertical="center"/>
    </xf>
    <xf numFmtId="0" fontId="1" fillId="9" borderId="14" xfId="0" applyFont="1" applyFill="1" applyBorder="1" applyAlignment="1">
      <alignment horizontal="left" vertical="center"/>
    </xf>
    <xf numFmtId="176" fontId="1" fillId="9" borderId="26" xfId="0" applyNumberFormat="1" applyFont="1" applyFill="1" applyBorder="1" applyAlignment="1">
      <alignment horizontal="center" vertical="center"/>
    </xf>
    <xf numFmtId="176" fontId="1" fillId="9" borderId="0" xfId="0" applyNumberFormat="1" applyFont="1" applyFill="1" applyAlignment="1">
      <alignment horizontal="center" vertical="center"/>
    </xf>
    <xf numFmtId="176" fontId="1" fillId="9" borderId="2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41FF96"/>
      <color rgb="00B9FF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92"/>
  <sheetViews>
    <sheetView tabSelected="1" showRuler="0" workbookViewId="0">
      <selection activeCell="S74" sqref="S74"/>
    </sheetView>
  </sheetViews>
  <sheetFormatPr defaultColWidth="10.6666666666667" defaultRowHeight="14.5"/>
  <cols>
    <col min="1" max="1" width="20.5" style="1" customWidth="1"/>
    <col min="2" max="2" width="13.75" style="1" customWidth="1"/>
    <col min="3" max="3" width="10.6666666666667" style="1"/>
    <col min="4" max="4" width="13.9166666666667" style="1" customWidth="1"/>
    <col min="5" max="5" width="16.4166666666667" style="1" customWidth="1"/>
    <col min="6" max="6" width="13.3333333333333" style="1" customWidth="1"/>
    <col min="7" max="7" width="17.3333333333333" style="1" customWidth="1"/>
    <col min="8" max="8" width="14.3333333333333" style="1" customWidth="1"/>
    <col min="9" max="9" width="17" style="1" customWidth="1"/>
    <col min="10" max="10" width="13.5" style="1" customWidth="1"/>
    <col min="11" max="11" width="17.5" style="1" customWidth="1"/>
    <col min="12" max="16384" width="10.6666666666667" style="1"/>
  </cols>
  <sheetData>
    <row r="1" ht="15.25" spans="1:34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</row>
    <row r="2" spans="1:34">
      <c r="A2" s="5"/>
      <c r="B2" s="6" t="s">
        <v>0</v>
      </c>
      <c r="C2" s="7"/>
      <c r="D2" s="7"/>
      <c r="E2" s="7"/>
      <c r="F2" s="7"/>
      <c r="G2" s="8"/>
      <c r="H2" s="9" t="s">
        <v>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  <c r="AA2" s="12" t="s">
        <v>2</v>
      </c>
      <c r="AB2" s="13"/>
      <c r="AC2" s="13"/>
      <c r="AD2" s="13"/>
      <c r="AE2" s="13"/>
      <c r="AF2" s="13"/>
      <c r="AG2" s="13"/>
      <c r="AH2" s="14"/>
    </row>
    <row r="3" spans="1:34">
      <c r="A3" s="15" t="s">
        <v>3</v>
      </c>
      <c r="B3" s="16">
        <v>1</v>
      </c>
      <c r="C3" s="17">
        <v>2</v>
      </c>
      <c r="D3" s="17">
        <v>3</v>
      </c>
      <c r="E3" s="17">
        <v>4</v>
      </c>
      <c r="F3" s="17">
        <v>5</v>
      </c>
      <c r="G3" s="18">
        <v>6</v>
      </c>
      <c r="H3" s="19">
        <v>7</v>
      </c>
      <c r="I3" s="20">
        <v>8</v>
      </c>
      <c r="J3" s="20">
        <v>9</v>
      </c>
      <c r="K3" s="20">
        <v>10</v>
      </c>
      <c r="L3" s="20">
        <v>11</v>
      </c>
      <c r="M3" s="20">
        <v>12</v>
      </c>
      <c r="N3" s="20">
        <v>13</v>
      </c>
      <c r="O3" s="20">
        <v>14</v>
      </c>
      <c r="P3" s="20">
        <v>15</v>
      </c>
      <c r="Q3" s="20">
        <v>16</v>
      </c>
      <c r="R3" s="20">
        <v>17</v>
      </c>
      <c r="S3" s="20">
        <v>18</v>
      </c>
      <c r="T3" s="20">
        <v>19</v>
      </c>
      <c r="U3" s="20">
        <v>20</v>
      </c>
      <c r="V3" s="20">
        <v>21</v>
      </c>
      <c r="W3" s="20">
        <v>22</v>
      </c>
      <c r="X3" s="20">
        <v>23</v>
      </c>
      <c r="Y3" s="20">
        <v>24</v>
      </c>
      <c r="Z3" s="21">
        <v>25</v>
      </c>
      <c r="AA3" s="22">
        <v>26</v>
      </c>
      <c r="AB3" s="23">
        <v>27</v>
      </c>
      <c r="AC3" s="23">
        <v>28</v>
      </c>
      <c r="AD3" s="23">
        <v>29</v>
      </c>
      <c r="AE3" s="23">
        <v>30</v>
      </c>
      <c r="AF3" s="23">
        <v>31</v>
      </c>
      <c r="AG3" s="23">
        <v>32</v>
      </c>
      <c r="AH3" s="24">
        <v>33</v>
      </c>
    </row>
    <row r="4" spans="1:34">
      <c r="A4" s="15" t="s">
        <v>4</v>
      </c>
      <c r="B4" s="16">
        <v>25</v>
      </c>
      <c r="C4" s="17" t="s">
        <v>5</v>
      </c>
      <c r="D4" s="17">
        <v>50</v>
      </c>
      <c r="E4" s="17">
        <v>75</v>
      </c>
      <c r="F4" s="17">
        <v>100</v>
      </c>
      <c r="G4" s="18">
        <v>167</v>
      </c>
      <c r="H4" s="19">
        <v>45</v>
      </c>
      <c r="I4" s="20">
        <v>75</v>
      </c>
      <c r="J4" s="20">
        <v>75</v>
      </c>
      <c r="K4" s="20" t="s">
        <v>6</v>
      </c>
      <c r="L4" s="20">
        <v>150</v>
      </c>
      <c r="M4" s="20">
        <v>150</v>
      </c>
      <c r="N4" s="20">
        <v>225</v>
      </c>
      <c r="O4" s="20">
        <v>225</v>
      </c>
      <c r="P4" s="20">
        <v>300</v>
      </c>
      <c r="Q4" s="20">
        <v>300</v>
      </c>
      <c r="R4" s="20">
        <v>500</v>
      </c>
      <c r="S4" s="20">
        <v>500</v>
      </c>
      <c r="T4" s="20">
        <v>750</v>
      </c>
      <c r="U4" s="20">
        <v>750</v>
      </c>
      <c r="V4" s="20">
        <v>1000</v>
      </c>
      <c r="W4" s="20">
        <v>1000</v>
      </c>
      <c r="X4" s="20">
        <v>1500</v>
      </c>
      <c r="Y4" s="20">
        <v>2000</v>
      </c>
      <c r="Z4" s="21">
        <v>2500</v>
      </c>
      <c r="AA4" s="22">
        <v>15</v>
      </c>
      <c r="AB4" s="23">
        <v>25</v>
      </c>
      <c r="AC4" s="25" t="s">
        <v>5</v>
      </c>
      <c r="AD4" s="23">
        <v>50</v>
      </c>
      <c r="AE4" s="23">
        <v>75</v>
      </c>
      <c r="AF4" s="23">
        <v>75</v>
      </c>
      <c r="AG4" s="23">
        <v>100</v>
      </c>
      <c r="AH4" s="24">
        <v>167</v>
      </c>
    </row>
    <row r="5" spans="1:34">
      <c r="A5" s="15" t="s">
        <v>7</v>
      </c>
      <c r="B5" s="16" t="s">
        <v>8</v>
      </c>
      <c r="C5" s="17" t="s">
        <v>8</v>
      </c>
      <c r="D5" s="17" t="s">
        <v>8</v>
      </c>
      <c r="E5" s="17" t="s">
        <v>8</v>
      </c>
      <c r="F5" s="17" t="s">
        <v>8</v>
      </c>
      <c r="G5" s="18" t="s">
        <v>8</v>
      </c>
      <c r="H5" s="19" t="s">
        <v>9</v>
      </c>
      <c r="I5" s="20" t="s">
        <v>9</v>
      </c>
      <c r="J5" s="20" t="s">
        <v>10</v>
      </c>
      <c r="K5" s="20" t="s">
        <v>9</v>
      </c>
      <c r="L5" s="20" t="s">
        <v>9</v>
      </c>
      <c r="M5" s="20" t="s">
        <v>10</v>
      </c>
      <c r="N5" s="20" t="s">
        <v>9</v>
      </c>
      <c r="O5" s="20" t="s">
        <v>10</v>
      </c>
      <c r="P5" s="20" t="s">
        <v>9</v>
      </c>
      <c r="Q5" s="20" t="s">
        <v>10</v>
      </c>
      <c r="R5" s="20" t="s">
        <v>9</v>
      </c>
      <c r="S5" s="20" t="s">
        <v>10</v>
      </c>
      <c r="T5" s="20" t="s">
        <v>9</v>
      </c>
      <c r="U5" s="20" t="s">
        <v>10</v>
      </c>
      <c r="V5" s="20" t="s">
        <v>9</v>
      </c>
      <c r="W5" s="20" t="s">
        <v>10</v>
      </c>
      <c r="X5" s="20" t="s">
        <v>10</v>
      </c>
      <c r="Y5" s="20" t="s">
        <v>10</v>
      </c>
      <c r="Z5" s="21" t="s">
        <v>10</v>
      </c>
      <c r="AA5" s="22" t="s">
        <v>8</v>
      </c>
      <c r="AB5" s="23" t="s">
        <v>8</v>
      </c>
      <c r="AC5" s="23" t="s">
        <v>8</v>
      </c>
      <c r="AD5" s="23" t="s">
        <v>8</v>
      </c>
      <c r="AE5" s="23" t="s">
        <v>8</v>
      </c>
      <c r="AF5" s="23" t="s">
        <v>11</v>
      </c>
      <c r="AG5" s="23" t="s">
        <v>8</v>
      </c>
      <c r="AH5" s="24" t="s">
        <v>8</v>
      </c>
    </row>
    <row r="6" spans="1:34">
      <c r="A6" s="15" t="s">
        <v>12</v>
      </c>
      <c r="B6" s="16"/>
      <c r="C6" s="17"/>
      <c r="D6" s="17"/>
      <c r="E6" s="17"/>
      <c r="F6" s="17"/>
      <c r="G6" s="18"/>
      <c r="H6" s="26"/>
      <c r="I6" s="20"/>
      <c r="J6" s="20"/>
      <c r="K6" s="20"/>
      <c r="L6" s="20"/>
      <c r="M6" s="20"/>
      <c r="N6" s="20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8"/>
      <c r="AA6" s="29"/>
      <c r="AB6" s="25"/>
      <c r="AC6" s="25"/>
      <c r="AD6" s="25"/>
      <c r="AE6" s="25"/>
      <c r="AF6" s="25"/>
      <c r="AG6" s="25"/>
      <c r="AH6" s="30"/>
    </row>
    <row r="7" spans="1:34">
      <c r="A7" s="15" t="s">
        <v>13</v>
      </c>
      <c r="B7" s="31" t="s">
        <v>14</v>
      </c>
      <c r="C7" s="32"/>
      <c r="D7" s="31" t="s">
        <v>15</v>
      </c>
      <c r="E7" s="33"/>
      <c r="F7" s="33"/>
      <c r="G7" s="34"/>
      <c r="H7" s="35" t="s">
        <v>16</v>
      </c>
      <c r="I7" s="36"/>
      <c r="J7" s="37" t="s">
        <v>17</v>
      </c>
      <c r="K7" s="38"/>
      <c r="L7" s="38"/>
      <c r="M7" s="38"/>
      <c r="N7" s="38"/>
      <c r="O7" s="38"/>
      <c r="P7" s="38"/>
      <c r="Q7" s="36"/>
      <c r="R7" s="37" t="s">
        <v>18</v>
      </c>
      <c r="S7" s="36"/>
      <c r="T7" s="39">
        <v>0.0575</v>
      </c>
      <c r="U7" s="40"/>
      <c r="V7" s="40"/>
      <c r="W7" s="40"/>
      <c r="X7" s="40"/>
      <c r="Y7" s="40"/>
      <c r="Z7" s="41"/>
      <c r="AA7" s="42" t="s">
        <v>14</v>
      </c>
      <c r="AB7" s="43"/>
      <c r="AC7" s="44"/>
      <c r="AD7" s="45" t="s">
        <v>15</v>
      </c>
      <c r="AE7" s="43"/>
      <c r="AF7" s="43"/>
      <c r="AG7" s="43"/>
      <c r="AH7" s="46"/>
    </row>
    <row r="8" spans="1:34">
      <c r="A8" s="15" t="s">
        <v>19</v>
      </c>
      <c r="B8" s="47">
        <v>760</v>
      </c>
      <c r="C8" s="48">
        <v>941</v>
      </c>
      <c r="D8" s="48">
        <v>1216</v>
      </c>
      <c r="E8" s="48">
        <v>1487</v>
      </c>
      <c r="F8" s="48">
        <v>1813</v>
      </c>
      <c r="G8" s="49">
        <v>2078</v>
      </c>
      <c r="H8" s="50">
        <v>2162</v>
      </c>
      <c r="I8" s="51">
        <v>2437</v>
      </c>
      <c r="J8" s="51">
        <v>2435</v>
      </c>
      <c r="K8" s="51">
        <v>2951</v>
      </c>
      <c r="L8" s="51">
        <v>3125</v>
      </c>
      <c r="M8" s="51">
        <v>3124</v>
      </c>
      <c r="N8" s="51">
        <v>3779</v>
      </c>
      <c r="O8" s="51">
        <v>3777</v>
      </c>
      <c r="P8" s="51">
        <v>4452</v>
      </c>
      <c r="Q8" s="51">
        <v>4450</v>
      </c>
      <c r="R8" s="51">
        <v>5893</v>
      </c>
      <c r="S8" s="51">
        <v>5890</v>
      </c>
      <c r="T8" s="51">
        <v>7716</v>
      </c>
      <c r="U8" s="51">
        <v>7713</v>
      </c>
      <c r="V8" s="51">
        <v>8802</v>
      </c>
      <c r="W8" s="51">
        <v>8800</v>
      </c>
      <c r="X8" s="51">
        <v>11601</v>
      </c>
      <c r="Y8" s="51">
        <v>14604</v>
      </c>
      <c r="Z8" s="52">
        <v>16034</v>
      </c>
      <c r="AA8" s="53">
        <v>343</v>
      </c>
      <c r="AB8" s="54">
        <v>403</v>
      </c>
      <c r="AC8" s="54">
        <v>601</v>
      </c>
      <c r="AD8" s="54">
        <v>676</v>
      </c>
      <c r="AE8" s="54">
        <v>946</v>
      </c>
      <c r="AF8" s="54">
        <v>945</v>
      </c>
      <c r="AG8" s="54">
        <v>1230</v>
      </c>
      <c r="AH8" s="55">
        <v>1660</v>
      </c>
    </row>
    <row r="9" spans="1:34">
      <c r="A9" s="15" t="s">
        <v>20</v>
      </c>
      <c r="B9" s="31" t="s">
        <v>21</v>
      </c>
      <c r="C9" s="33"/>
      <c r="D9" s="33"/>
      <c r="E9" s="33"/>
      <c r="F9" s="33"/>
      <c r="G9" s="34"/>
      <c r="H9" s="35" t="s">
        <v>21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56"/>
      <c r="AA9" s="42" t="s">
        <v>21</v>
      </c>
      <c r="AB9" s="43"/>
      <c r="AC9" s="43"/>
      <c r="AD9" s="43"/>
      <c r="AE9" s="43"/>
      <c r="AF9" s="43"/>
      <c r="AG9" s="43"/>
      <c r="AH9" s="46"/>
    </row>
    <row r="10" ht="29" spans="1:34">
      <c r="A10" s="57" t="s">
        <v>22</v>
      </c>
      <c r="B10" s="58">
        <v>0.0109</v>
      </c>
      <c r="C10" s="58">
        <v>0.0099</v>
      </c>
      <c r="D10" s="58">
        <v>0.0098</v>
      </c>
      <c r="E10" s="58">
        <v>0.0092</v>
      </c>
      <c r="F10" s="58">
        <v>0.0083</v>
      </c>
      <c r="G10" s="58">
        <v>0.0075</v>
      </c>
      <c r="H10" s="59">
        <v>0.0134</v>
      </c>
      <c r="I10" s="39">
        <v>0.0124</v>
      </c>
      <c r="J10" s="60"/>
      <c r="K10" s="61">
        <v>0.0121</v>
      </c>
      <c r="L10" s="39">
        <v>0.0118</v>
      </c>
      <c r="M10" s="60"/>
      <c r="N10" s="39">
        <v>0.0113</v>
      </c>
      <c r="O10" s="60"/>
      <c r="P10" s="39">
        <v>0.0109</v>
      </c>
      <c r="Q10" s="60"/>
      <c r="R10" s="39">
        <v>0.0105</v>
      </c>
      <c r="S10" s="60"/>
      <c r="T10" s="39">
        <v>0.0102</v>
      </c>
      <c r="U10" s="60"/>
      <c r="V10" s="39">
        <v>0.0104</v>
      </c>
      <c r="W10" s="60"/>
      <c r="X10" s="61">
        <v>0.0097</v>
      </c>
      <c r="Y10" s="61">
        <v>0.0089</v>
      </c>
      <c r="Z10" s="62">
        <v>0.0089</v>
      </c>
      <c r="AA10" s="63">
        <v>0.0119</v>
      </c>
      <c r="AB10" s="63">
        <v>0.0109</v>
      </c>
      <c r="AC10" s="63">
        <v>0.0099</v>
      </c>
      <c r="AD10" s="63">
        <v>0.0098</v>
      </c>
      <c r="AE10" s="63">
        <v>0.0092</v>
      </c>
      <c r="AF10" s="63">
        <v>0.0091</v>
      </c>
      <c r="AG10" s="63">
        <v>0.0083</v>
      </c>
      <c r="AH10" s="63">
        <v>0.0075</v>
      </c>
    </row>
    <row r="11" ht="29" spans="1:34">
      <c r="A11" s="57" t="s">
        <v>23</v>
      </c>
      <c r="B11" s="58">
        <v>0.0183</v>
      </c>
      <c r="C11" s="58">
        <v>0.018</v>
      </c>
      <c r="D11" s="58">
        <v>0.0188</v>
      </c>
      <c r="E11" s="58">
        <v>0.019</v>
      </c>
      <c r="F11" s="58">
        <v>0.0178</v>
      </c>
      <c r="G11" s="58">
        <v>0.018</v>
      </c>
      <c r="H11" s="59">
        <v>0.0278</v>
      </c>
      <c r="I11" s="39">
        <v>0.0279</v>
      </c>
      <c r="J11" s="60"/>
      <c r="K11" s="61">
        <v>0.0306</v>
      </c>
      <c r="L11" s="39">
        <v>0.0316</v>
      </c>
      <c r="M11" s="60"/>
      <c r="N11" s="39">
        <v>0.0318</v>
      </c>
      <c r="O11" s="60"/>
      <c r="P11" s="39">
        <v>0.0318</v>
      </c>
      <c r="Q11" s="60"/>
      <c r="R11" s="39">
        <v>0.0381</v>
      </c>
      <c r="S11" s="60"/>
      <c r="T11" s="39">
        <v>0.0426</v>
      </c>
      <c r="U11" s="60"/>
      <c r="V11" s="39">
        <v>0.0437</v>
      </c>
      <c r="W11" s="60"/>
      <c r="X11" s="61">
        <v>0.0435</v>
      </c>
      <c r="Y11" s="61">
        <v>0.0423</v>
      </c>
      <c r="Z11" s="62">
        <v>0.042</v>
      </c>
      <c r="AA11" s="63">
        <v>0.0177</v>
      </c>
      <c r="AB11" s="63">
        <v>0.0183</v>
      </c>
      <c r="AC11" s="63">
        <v>0.018</v>
      </c>
      <c r="AD11" s="63">
        <v>0.0188</v>
      </c>
      <c r="AE11" s="63">
        <v>0.019</v>
      </c>
      <c r="AF11" s="63">
        <v>0.0189</v>
      </c>
      <c r="AG11" s="63">
        <v>0.0178</v>
      </c>
      <c r="AH11" s="63">
        <v>0.018</v>
      </c>
    </row>
    <row r="12" spans="1:34">
      <c r="A12" s="15" t="s">
        <v>24</v>
      </c>
      <c r="B12" s="47">
        <v>0.069</v>
      </c>
      <c r="C12" s="47">
        <v>0.094</v>
      </c>
      <c r="D12" s="47">
        <v>0.114</v>
      </c>
      <c r="E12" s="47">
        <v>0.154</v>
      </c>
      <c r="F12" s="47">
        <v>0.184</v>
      </c>
      <c r="G12" s="47">
        <v>0.279</v>
      </c>
      <c r="H12" s="50">
        <v>0.108</v>
      </c>
      <c r="I12" s="37">
        <v>0.158</v>
      </c>
      <c r="J12" s="36"/>
      <c r="K12" s="51">
        <v>0.208</v>
      </c>
      <c r="L12" s="37">
        <v>0.258</v>
      </c>
      <c r="M12" s="36"/>
      <c r="N12" s="37">
        <v>0.348</v>
      </c>
      <c r="O12" s="36"/>
      <c r="P12" s="37">
        <v>0.418</v>
      </c>
      <c r="Q12" s="36"/>
      <c r="R12" s="37">
        <v>0.603</v>
      </c>
      <c r="S12" s="36"/>
      <c r="T12" s="37">
        <v>0.823</v>
      </c>
      <c r="U12" s="36"/>
      <c r="V12" s="37">
        <v>0.978</v>
      </c>
      <c r="W12" s="36"/>
      <c r="X12" s="51">
        <v>1.35</v>
      </c>
      <c r="Y12" s="51">
        <v>1.68</v>
      </c>
      <c r="Z12" s="52">
        <v>2.01</v>
      </c>
      <c r="AA12" s="53">
        <v>0.047</v>
      </c>
      <c r="AB12" s="53">
        <v>0.069</v>
      </c>
      <c r="AC12" s="53">
        <v>0.094</v>
      </c>
      <c r="AD12" s="53">
        <v>0.114</v>
      </c>
      <c r="AE12" s="53">
        <v>0.154</v>
      </c>
      <c r="AF12" s="53">
        <v>0.154</v>
      </c>
      <c r="AG12" s="53">
        <v>0.184</v>
      </c>
      <c r="AH12" s="53">
        <v>0.279</v>
      </c>
    </row>
    <row r="13" ht="15.25" spans="1:34">
      <c r="A13" s="64" t="s">
        <v>25</v>
      </c>
      <c r="B13" s="65">
        <v>0.28</v>
      </c>
      <c r="C13" s="65">
        <v>0.375</v>
      </c>
      <c r="D13" s="65">
        <v>0.485</v>
      </c>
      <c r="E13" s="65">
        <v>0.67</v>
      </c>
      <c r="F13" s="65">
        <v>0.86</v>
      </c>
      <c r="G13" s="65">
        <v>1.26</v>
      </c>
      <c r="H13" s="66">
        <v>0.6</v>
      </c>
      <c r="I13" s="67">
        <v>0.92</v>
      </c>
      <c r="J13" s="68"/>
      <c r="K13" s="69">
        <v>1.3</v>
      </c>
      <c r="L13" s="37">
        <v>1.68</v>
      </c>
      <c r="M13" s="36"/>
      <c r="N13" s="37">
        <v>2.3</v>
      </c>
      <c r="O13" s="36"/>
      <c r="P13" s="37">
        <v>3.02</v>
      </c>
      <c r="Q13" s="36"/>
      <c r="R13" s="37">
        <v>4.6</v>
      </c>
      <c r="S13" s="36"/>
      <c r="T13" s="37">
        <v>6.45</v>
      </c>
      <c r="U13" s="36"/>
      <c r="V13" s="37">
        <v>8.43</v>
      </c>
      <c r="W13" s="36"/>
      <c r="X13" s="51">
        <v>11.48</v>
      </c>
      <c r="Y13" s="51">
        <v>14.5</v>
      </c>
      <c r="Z13" s="52">
        <v>17.5</v>
      </c>
      <c r="AA13" s="53">
        <v>0.185</v>
      </c>
      <c r="AB13" s="53">
        <v>0.28</v>
      </c>
      <c r="AC13" s="53">
        <v>0.375</v>
      </c>
      <c r="AD13" s="53">
        <v>0.485</v>
      </c>
      <c r="AE13" s="53">
        <v>0.67</v>
      </c>
      <c r="AF13" s="53">
        <v>0.67</v>
      </c>
      <c r="AG13" s="53">
        <v>0.86</v>
      </c>
      <c r="AH13" s="53">
        <v>1.26</v>
      </c>
    </row>
    <row r="14" spans="1:34">
      <c r="A14" s="70"/>
      <c r="B14" s="71"/>
      <c r="C14" s="72"/>
      <c r="D14" s="73" t="s">
        <v>26</v>
      </c>
      <c r="E14" s="73"/>
      <c r="F14" s="73"/>
      <c r="G14" s="74"/>
      <c r="H14" s="73" t="s">
        <v>26</v>
      </c>
      <c r="I14" s="73"/>
      <c r="J14" s="73"/>
      <c r="K14" s="74"/>
    </row>
    <row r="15" ht="15.25" spans="1:34">
      <c r="A15" s="75"/>
      <c r="B15" s="76"/>
      <c r="C15" s="77"/>
      <c r="D15" s="78" t="s">
        <v>27</v>
      </c>
      <c r="E15" s="78"/>
      <c r="F15" s="78"/>
      <c r="G15" s="79"/>
      <c r="H15" s="78" t="s">
        <v>28</v>
      </c>
      <c r="I15" s="78"/>
      <c r="J15" s="78"/>
      <c r="K15" s="79"/>
    </row>
    <row r="16" ht="19" customHeight="1" spans="1:34">
      <c r="A16" s="80" t="s">
        <v>29</v>
      </c>
      <c r="B16" s="81" t="s">
        <v>30</v>
      </c>
      <c r="C16" s="82"/>
      <c r="D16" s="83" t="s">
        <v>31</v>
      </c>
      <c r="E16" s="83" t="s">
        <v>32</v>
      </c>
      <c r="F16" s="83" t="s">
        <v>33</v>
      </c>
      <c r="G16" s="84" t="s">
        <v>34</v>
      </c>
      <c r="H16" s="85" t="s">
        <v>31</v>
      </c>
      <c r="I16" s="83" t="s">
        <v>32</v>
      </c>
      <c r="J16" s="83" t="s">
        <v>33</v>
      </c>
      <c r="K16" s="84" t="s">
        <v>34</v>
      </c>
    </row>
    <row r="17" ht="19" customHeight="1" spans="1:11">
      <c r="A17" s="86">
        <v>1</v>
      </c>
      <c r="B17" s="87" t="s">
        <v>35</v>
      </c>
      <c r="C17" s="88"/>
      <c r="D17" s="89">
        <f t="shared" ref="D17:D20" si="0">F17*1.2+200</f>
        <v>5585.6</v>
      </c>
      <c r="E17" s="90">
        <f t="shared" ref="E17:E21" si="1">G17*1.2+200</f>
        <v>4865.6</v>
      </c>
      <c r="F17" s="90">
        <f>G17+600</f>
        <v>4488</v>
      </c>
      <c r="G17" s="90">
        <v>3888</v>
      </c>
      <c r="H17" s="89">
        <f t="shared" ref="H17:H20" si="2">J17*1.2+200</f>
        <v>5316.32</v>
      </c>
      <c r="I17" s="90">
        <f t="shared" ref="I17:I20" si="3">K17*1.2+200</f>
        <v>4632.32</v>
      </c>
      <c r="J17" s="90">
        <f t="shared" ref="J17:J25" si="4">F17*0.95</f>
        <v>4263.6</v>
      </c>
      <c r="K17" s="91">
        <f t="shared" ref="K17:K25" si="5">G17*0.95</f>
        <v>3693.6</v>
      </c>
    </row>
    <row r="18" spans="1:11">
      <c r="A18" s="86">
        <v>2</v>
      </c>
      <c r="B18" s="87" t="s">
        <v>36</v>
      </c>
      <c r="C18" s="88"/>
      <c r="D18" s="92">
        <f t="shared" si="0"/>
        <v>5972</v>
      </c>
      <c r="E18" s="93">
        <f t="shared" si="1"/>
        <v>5192</v>
      </c>
      <c r="F18" s="93">
        <f>G18+650</f>
        <v>4810</v>
      </c>
      <c r="G18" s="93">
        <v>4160</v>
      </c>
      <c r="H18" s="92">
        <f t="shared" si="2"/>
        <v>5683.4</v>
      </c>
      <c r="I18" s="93">
        <f t="shared" si="3"/>
        <v>4942.4</v>
      </c>
      <c r="J18" s="93">
        <f t="shared" si="4"/>
        <v>4569.5</v>
      </c>
      <c r="K18" s="94">
        <f t="shared" si="5"/>
        <v>3952</v>
      </c>
    </row>
    <row r="19" spans="1:11">
      <c r="A19" s="86">
        <v>3</v>
      </c>
      <c r="B19" s="87" t="s">
        <v>37</v>
      </c>
      <c r="C19" s="88"/>
      <c r="D19" s="92">
        <f t="shared" si="0"/>
        <v>6740</v>
      </c>
      <c r="E19" s="93">
        <f t="shared" si="1"/>
        <v>5900</v>
      </c>
      <c r="F19" s="93">
        <f>G19+700</f>
        <v>5450</v>
      </c>
      <c r="G19" s="93">
        <v>4750</v>
      </c>
      <c r="H19" s="92">
        <f t="shared" si="2"/>
        <v>6413</v>
      </c>
      <c r="I19" s="93">
        <f t="shared" si="3"/>
        <v>5615</v>
      </c>
      <c r="J19" s="93">
        <f t="shared" si="4"/>
        <v>5177.5</v>
      </c>
      <c r="K19" s="94">
        <f t="shared" si="5"/>
        <v>4512.5</v>
      </c>
    </row>
    <row r="20" spans="1:11">
      <c r="A20" s="86">
        <v>4</v>
      </c>
      <c r="B20" s="87" t="s">
        <v>38</v>
      </c>
      <c r="C20" s="88"/>
      <c r="D20" s="92">
        <f t="shared" si="0"/>
        <v>7460</v>
      </c>
      <c r="E20" s="93">
        <f t="shared" si="1"/>
        <v>6560</v>
      </c>
      <c r="F20" s="93">
        <f>G20+750</f>
        <v>6050</v>
      </c>
      <c r="G20" s="93">
        <v>5300</v>
      </c>
      <c r="H20" s="92">
        <f t="shared" si="2"/>
        <v>7097</v>
      </c>
      <c r="I20" s="93">
        <f t="shared" si="3"/>
        <v>6242</v>
      </c>
      <c r="J20" s="93">
        <f t="shared" si="4"/>
        <v>5747.5</v>
      </c>
      <c r="K20" s="94">
        <f t="shared" si="5"/>
        <v>5035</v>
      </c>
    </row>
    <row r="21" spans="1:11">
      <c r="A21" s="86">
        <v>5</v>
      </c>
      <c r="B21" s="87" t="s">
        <v>39</v>
      </c>
      <c r="C21" s="88"/>
      <c r="D21" s="92">
        <f t="shared" ref="D18:D25" si="6">F21*1.2+400</f>
        <v>8656</v>
      </c>
      <c r="E21" s="93">
        <f t="shared" ref="E21:E25" si="7">G21*1.2+400</f>
        <v>7696</v>
      </c>
      <c r="F21" s="93">
        <f>G21+800</f>
        <v>6880</v>
      </c>
      <c r="G21" s="93">
        <v>6080</v>
      </c>
      <c r="H21" s="92">
        <f t="shared" ref="H18:H25" si="8">J21*1.2+400</f>
        <v>8243.2</v>
      </c>
      <c r="I21" s="93">
        <f t="shared" ref="I18:I25" si="9">K21*1.2+400</f>
        <v>7331.2</v>
      </c>
      <c r="J21" s="93">
        <f t="shared" si="4"/>
        <v>6536</v>
      </c>
      <c r="K21" s="94">
        <f t="shared" si="5"/>
        <v>5776</v>
      </c>
    </row>
    <row r="22" spans="1:11">
      <c r="A22" s="86">
        <v>6</v>
      </c>
      <c r="B22" s="87" t="s">
        <v>40</v>
      </c>
      <c r="C22" s="88"/>
      <c r="D22" s="92">
        <f t="shared" si="6"/>
        <v>9940</v>
      </c>
      <c r="E22" s="93">
        <f t="shared" si="7"/>
        <v>8860</v>
      </c>
      <c r="F22" s="93">
        <f>G22+900</f>
        <v>7950</v>
      </c>
      <c r="G22" s="93">
        <v>7050</v>
      </c>
      <c r="H22" s="92">
        <f t="shared" si="8"/>
        <v>9463</v>
      </c>
      <c r="I22" s="93">
        <f t="shared" si="9"/>
        <v>8437</v>
      </c>
      <c r="J22" s="93">
        <f t="shared" si="4"/>
        <v>7552.5</v>
      </c>
      <c r="K22" s="94">
        <f t="shared" si="5"/>
        <v>6697.5</v>
      </c>
    </row>
    <row r="23" spans="1:11">
      <c r="A23" s="86">
        <v>7</v>
      </c>
      <c r="B23" s="87" t="s">
        <v>41</v>
      </c>
      <c r="C23" s="88"/>
      <c r="D23" s="92">
        <f t="shared" si="6"/>
        <v>12520</v>
      </c>
      <c r="E23" s="93">
        <f t="shared" si="7"/>
        <v>11320</v>
      </c>
      <c r="F23" s="93">
        <f>G23+1000</f>
        <v>10100</v>
      </c>
      <c r="G23" s="93">
        <v>9100</v>
      </c>
      <c r="H23" s="92">
        <f t="shared" si="8"/>
        <v>11914</v>
      </c>
      <c r="I23" s="93">
        <f t="shared" si="9"/>
        <v>10774</v>
      </c>
      <c r="J23" s="93">
        <f t="shared" si="4"/>
        <v>9595</v>
      </c>
      <c r="K23" s="94">
        <f t="shared" si="5"/>
        <v>8645</v>
      </c>
    </row>
    <row r="24" spans="1:11">
      <c r="A24" s="86">
        <v>8</v>
      </c>
      <c r="B24" s="87" t="s">
        <v>42</v>
      </c>
      <c r="C24" s="88"/>
      <c r="D24" s="92">
        <f t="shared" si="6"/>
        <v>15160</v>
      </c>
      <c r="E24" s="93">
        <f t="shared" si="7"/>
        <v>13720</v>
      </c>
      <c r="F24" s="93">
        <f>G24+1200</f>
        <v>12300</v>
      </c>
      <c r="G24" s="93">
        <v>11100</v>
      </c>
      <c r="H24" s="92">
        <f t="shared" si="8"/>
        <v>14422</v>
      </c>
      <c r="I24" s="93">
        <f t="shared" si="9"/>
        <v>13054</v>
      </c>
      <c r="J24" s="93">
        <f t="shared" si="4"/>
        <v>11685</v>
      </c>
      <c r="K24" s="94">
        <f t="shared" si="5"/>
        <v>10545</v>
      </c>
    </row>
    <row r="25" ht="15.25" spans="1:11">
      <c r="A25" s="86">
        <v>9</v>
      </c>
      <c r="B25" s="87" t="s">
        <v>43</v>
      </c>
      <c r="C25" s="88"/>
      <c r="D25" s="95">
        <f t="shared" si="6"/>
        <v>16732</v>
      </c>
      <c r="E25" s="96">
        <f t="shared" si="7"/>
        <v>14932</v>
      </c>
      <c r="F25" s="96">
        <f>G25+1500</f>
        <v>13610</v>
      </c>
      <c r="G25" s="96">
        <v>12110</v>
      </c>
      <c r="H25" s="95">
        <f t="shared" si="8"/>
        <v>15915.4</v>
      </c>
      <c r="I25" s="96">
        <f t="shared" si="9"/>
        <v>14205.4</v>
      </c>
      <c r="J25" s="96">
        <f t="shared" si="4"/>
        <v>12929.5</v>
      </c>
      <c r="K25" s="97">
        <f t="shared" si="5"/>
        <v>11504.5</v>
      </c>
    </row>
    <row r="26" spans="1:11">
      <c r="A26" s="98"/>
      <c r="B26" s="99"/>
      <c r="C26" s="99"/>
      <c r="D26" s="100" t="s">
        <v>26</v>
      </c>
      <c r="E26" s="100"/>
      <c r="F26" s="100"/>
      <c r="G26" s="101"/>
      <c r="H26" s="100" t="s">
        <v>26</v>
      </c>
      <c r="I26" s="100"/>
      <c r="J26" s="100"/>
      <c r="K26" s="101"/>
    </row>
    <row r="27" ht="15.25" spans="1:11">
      <c r="A27" s="98"/>
      <c r="B27" s="99"/>
      <c r="C27" s="99"/>
      <c r="D27" s="102" t="s">
        <v>44</v>
      </c>
      <c r="E27" s="103"/>
      <c r="F27" s="103"/>
      <c r="G27" s="104"/>
      <c r="H27" s="102" t="s">
        <v>45</v>
      </c>
      <c r="I27" s="103"/>
      <c r="J27" s="103"/>
      <c r="K27" s="104"/>
    </row>
    <row r="28" ht="15.25" spans="1:11">
      <c r="A28" s="98"/>
      <c r="B28" s="81" t="s">
        <v>30</v>
      </c>
      <c r="C28" s="82"/>
      <c r="D28" s="83" t="s">
        <v>31</v>
      </c>
      <c r="E28" s="83" t="s">
        <v>32</v>
      </c>
      <c r="F28" s="83" t="s">
        <v>33</v>
      </c>
      <c r="G28" s="84" t="s">
        <v>34</v>
      </c>
      <c r="H28" s="85" t="s">
        <v>31</v>
      </c>
      <c r="I28" s="83" t="s">
        <v>32</v>
      </c>
      <c r="J28" s="83" t="s">
        <v>33</v>
      </c>
      <c r="K28" s="84" t="s">
        <v>34</v>
      </c>
    </row>
    <row r="29" spans="1:11">
      <c r="A29" s="105">
        <v>1</v>
      </c>
      <c r="B29" s="106" t="s">
        <v>46</v>
      </c>
      <c r="C29" s="107"/>
      <c r="D29" s="108">
        <f t="shared" ref="D29:D36" si="10">F29*1.2+900</f>
        <v>17340</v>
      </c>
      <c r="E29" s="109">
        <f t="shared" ref="E29:E36" si="11">G29*1.2+900</f>
        <v>15900</v>
      </c>
      <c r="F29" s="109">
        <f>G29+1200</f>
        <v>13700</v>
      </c>
      <c r="G29" s="110">
        <v>12500</v>
      </c>
      <c r="H29" s="108">
        <f t="shared" ref="H29:H40" si="12">D29*0.95</f>
        <v>16473</v>
      </c>
      <c r="I29" s="109">
        <f t="shared" ref="I29:I40" si="13">E29*0.95</f>
        <v>15105</v>
      </c>
      <c r="J29" s="109">
        <f t="shared" ref="J29:J40" si="14">F29*0.95</f>
        <v>13015</v>
      </c>
      <c r="K29" s="110">
        <f t="shared" ref="K29:K40" si="15">G29*0.95</f>
        <v>11875</v>
      </c>
    </row>
    <row r="30" spans="1:11">
      <c r="A30" s="105">
        <v>2</v>
      </c>
      <c r="B30" s="106" t="s">
        <v>47</v>
      </c>
      <c r="C30" s="107"/>
      <c r="D30" s="102">
        <f t="shared" si="10"/>
        <v>18060</v>
      </c>
      <c r="E30" s="103">
        <f t="shared" si="11"/>
        <v>16500</v>
      </c>
      <c r="F30" s="103">
        <f>G30+1300</f>
        <v>14300</v>
      </c>
      <c r="G30" s="104">
        <v>13000</v>
      </c>
      <c r="H30" s="102">
        <f t="shared" si="12"/>
        <v>17157</v>
      </c>
      <c r="I30" s="111">
        <f t="shared" si="13"/>
        <v>15675</v>
      </c>
      <c r="J30" s="103">
        <f t="shared" si="14"/>
        <v>13585</v>
      </c>
      <c r="K30" s="104">
        <f t="shared" si="15"/>
        <v>12350</v>
      </c>
    </row>
    <row r="31" spans="1:11">
      <c r="A31" s="105">
        <v>3</v>
      </c>
      <c r="B31" s="106" t="s">
        <v>48</v>
      </c>
      <c r="C31" s="107"/>
      <c r="D31" s="102">
        <f t="shared" si="10"/>
        <v>19080</v>
      </c>
      <c r="E31" s="103">
        <f t="shared" si="11"/>
        <v>17280</v>
      </c>
      <c r="F31" s="103">
        <f>G31+1500</f>
        <v>15150</v>
      </c>
      <c r="G31" s="104">
        <v>13650</v>
      </c>
      <c r="H31" s="102">
        <f t="shared" si="12"/>
        <v>18126</v>
      </c>
      <c r="I31" s="111">
        <f t="shared" si="13"/>
        <v>16416</v>
      </c>
      <c r="J31" s="103">
        <f t="shared" si="14"/>
        <v>14392.5</v>
      </c>
      <c r="K31" s="104">
        <f t="shared" si="15"/>
        <v>12967.5</v>
      </c>
    </row>
    <row r="32" spans="1:11">
      <c r="A32" s="105">
        <v>4</v>
      </c>
      <c r="B32" s="106" t="s">
        <v>49</v>
      </c>
      <c r="C32" s="107"/>
      <c r="D32" s="102">
        <f t="shared" si="10"/>
        <v>19860</v>
      </c>
      <c r="E32" s="103">
        <f t="shared" si="11"/>
        <v>17940</v>
      </c>
      <c r="F32" s="103">
        <f>G32+1600</f>
        <v>15800</v>
      </c>
      <c r="G32" s="104">
        <v>14200</v>
      </c>
      <c r="H32" s="102">
        <f t="shared" si="12"/>
        <v>18867</v>
      </c>
      <c r="I32" s="111">
        <f t="shared" si="13"/>
        <v>17043</v>
      </c>
      <c r="J32" s="103">
        <f t="shared" si="14"/>
        <v>15010</v>
      </c>
      <c r="K32" s="104">
        <f t="shared" si="15"/>
        <v>13490</v>
      </c>
    </row>
    <row r="33" spans="1:11">
      <c r="A33" s="105">
        <v>5</v>
      </c>
      <c r="B33" s="106" t="s">
        <v>50</v>
      </c>
      <c r="C33" s="107"/>
      <c r="D33" s="102">
        <f t="shared" si="10"/>
        <v>25380</v>
      </c>
      <c r="E33" s="103">
        <f t="shared" si="11"/>
        <v>22020</v>
      </c>
      <c r="F33" s="103">
        <f>G33+2800</f>
        <v>20400</v>
      </c>
      <c r="G33" s="104">
        <v>17600</v>
      </c>
      <c r="H33" s="102">
        <f t="shared" si="12"/>
        <v>24111</v>
      </c>
      <c r="I33" s="111">
        <f t="shared" si="13"/>
        <v>20919</v>
      </c>
      <c r="J33" s="103">
        <f t="shared" si="14"/>
        <v>19380</v>
      </c>
      <c r="K33" s="104">
        <f t="shared" si="15"/>
        <v>16720</v>
      </c>
    </row>
    <row r="34" spans="1:11">
      <c r="A34" s="105">
        <v>6</v>
      </c>
      <c r="B34" s="106" t="s">
        <v>51</v>
      </c>
      <c r="C34" s="107"/>
      <c r="D34" s="102">
        <f t="shared" si="10"/>
        <v>27120</v>
      </c>
      <c r="E34" s="103">
        <f t="shared" si="11"/>
        <v>23520</v>
      </c>
      <c r="F34" s="103">
        <f>G34+3000</f>
        <v>21850</v>
      </c>
      <c r="G34" s="104">
        <v>18850</v>
      </c>
      <c r="H34" s="102">
        <f t="shared" si="12"/>
        <v>25764</v>
      </c>
      <c r="I34" s="111">
        <f t="shared" si="13"/>
        <v>22344</v>
      </c>
      <c r="J34" s="103">
        <f t="shared" si="14"/>
        <v>20757.5</v>
      </c>
      <c r="K34" s="104">
        <f t="shared" si="15"/>
        <v>17907.5</v>
      </c>
    </row>
    <row r="35" spans="1:11">
      <c r="A35" s="105">
        <v>7</v>
      </c>
      <c r="B35" s="106" t="s">
        <v>52</v>
      </c>
      <c r="C35" s="107"/>
      <c r="D35" s="102">
        <f t="shared" si="10"/>
        <v>33060</v>
      </c>
      <c r="E35" s="103">
        <f t="shared" si="11"/>
        <v>28980</v>
      </c>
      <c r="F35" s="103">
        <f>G35+3400</f>
        <v>26800</v>
      </c>
      <c r="G35" s="104">
        <v>23400</v>
      </c>
      <c r="H35" s="102">
        <f t="shared" si="12"/>
        <v>31407</v>
      </c>
      <c r="I35" s="111">
        <f t="shared" si="13"/>
        <v>27531</v>
      </c>
      <c r="J35" s="103">
        <f t="shared" si="14"/>
        <v>25460</v>
      </c>
      <c r="K35" s="104">
        <f t="shared" si="15"/>
        <v>22230</v>
      </c>
    </row>
    <row r="36" spans="1:11">
      <c r="A36" s="105">
        <v>8</v>
      </c>
      <c r="B36" s="106" t="s">
        <v>53</v>
      </c>
      <c r="C36" s="107"/>
      <c r="D36" s="102">
        <f t="shared" si="10"/>
        <v>47040</v>
      </c>
      <c r="E36" s="103">
        <f t="shared" si="11"/>
        <v>42240</v>
      </c>
      <c r="F36" s="103">
        <f>G36+4000</f>
        <v>38450</v>
      </c>
      <c r="G36" s="104">
        <v>34450</v>
      </c>
      <c r="H36" s="102">
        <f t="shared" si="12"/>
        <v>44688</v>
      </c>
      <c r="I36" s="111">
        <f t="shared" si="13"/>
        <v>40128</v>
      </c>
      <c r="J36" s="103">
        <f t="shared" si="14"/>
        <v>36527.5</v>
      </c>
      <c r="K36" s="104">
        <f t="shared" si="15"/>
        <v>32727.5</v>
      </c>
    </row>
    <row r="37" spans="1:11">
      <c r="A37" s="105">
        <v>9</v>
      </c>
      <c r="B37" s="106" t="s">
        <v>54</v>
      </c>
      <c r="C37" s="107"/>
      <c r="D37" s="102">
        <f>F37*1.2+1200</f>
        <v>51804</v>
      </c>
      <c r="E37" s="103">
        <f>G37*1.2+1200</f>
        <v>46284</v>
      </c>
      <c r="F37" s="103">
        <f>G37+4600</f>
        <v>42170</v>
      </c>
      <c r="G37" s="104">
        <v>37570</v>
      </c>
      <c r="H37" s="102">
        <f t="shared" si="12"/>
        <v>49213.8</v>
      </c>
      <c r="I37" s="111">
        <f t="shared" si="13"/>
        <v>43969.8</v>
      </c>
      <c r="J37" s="103">
        <f t="shared" si="14"/>
        <v>40061.5</v>
      </c>
      <c r="K37" s="104">
        <f t="shared" si="15"/>
        <v>35691.5</v>
      </c>
    </row>
    <row r="38" spans="1:11">
      <c r="A38" s="105">
        <v>10</v>
      </c>
      <c r="B38" s="106" t="s">
        <v>55</v>
      </c>
      <c r="C38" s="107"/>
      <c r="D38" s="102">
        <f>F38*1.2+1500</f>
        <v>59220</v>
      </c>
      <c r="E38" s="103">
        <f>G38*1.2+1500</f>
        <v>52980</v>
      </c>
      <c r="F38" s="103">
        <f>G38+5200</f>
        <v>48100</v>
      </c>
      <c r="G38" s="104">
        <v>42900</v>
      </c>
      <c r="H38" s="102">
        <f t="shared" si="12"/>
        <v>56259</v>
      </c>
      <c r="I38" s="111">
        <f t="shared" si="13"/>
        <v>50331</v>
      </c>
      <c r="J38" s="103">
        <f t="shared" si="14"/>
        <v>45695</v>
      </c>
      <c r="K38" s="104">
        <f t="shared" si="15"/>
        <v>40755</v>
      </c>
    </row>
    <row r="39" spans="1:11">
      <c r="A39" s="105">
        <v>11</v>
      </c>
      <c r="B39" s="106" t="s">
        <v>56</v>
      </c>
      <c r="C39" s="107"/>
      <c r="D39" s="102">
        <f>F39*1.2+1500</f>
        <v>69300</v>
      </c>
      <c r="E39" s="103">
        <f>G39*1.2+1500</f>
        <v>62340</v>
      </c>
      <c r="F39" s="103">
        <f>G39+5800</f>
        <v>56500</v>
      </c>
      <c r="G39" s="104">
        <v>50700</v>
      </c>
      <c r="H39" s="102">
        <f t="shared" si="12"/>
        <v>65835</v>
      </c>
      <c r="I39" s="111">
        <f t="shared" si="13"/>
        <v>59223</v>
      </c>
      <c r="J39" s="103">
        <f t="shared" si="14"/>
        <v>53675</v>
      </c>
      <c r="K39" s="104">
        <f t="shared" si="15"/>
        <v>48165</v>
      </c>
    </row>
    <row r="40" ht="15.25" spans="1:11">
      <c r="A40" s="105">
        <v>12</v>
      </c>
      <c r="B40" s="106" t="s">
        <v>57</v>
      </c>
      <c r="C40" s="107"/>
      <c r="D40" s="112">
        <f>F40*1.2+1500</f>
        <v>79260</v>
      </c>
      <c r="E40" s="113">
        <f>G40*1.2+1500</f>
        <v>71700</v>
      </c>
      <c r="F40" s="113">
        <f>G40+6300</f>
        <v>64800</v>
      </c>
      <c r="G40" s="114">
        <v>58500</v>
      </c>
      <c r="H40" s="112">
        <f t="shared" si="12"/>
        <v>75297</v>
      </c>
      <c r="I40" s="113">
        <f t="shared" si="13"/>
        <v>68115</v>
      </c>
      <c r="J40" s="113">
        <f t="shared" si="14"/>
        <v>61560</v>
      </c>
      <c r="K40" s="114">
        <f t="shared" si="15"/>
        <v>55575</v>
      </c>
    </row>
    <row r="41" spans="1:11">
      <c r="A41" s="115"/>
      <c r="B41" s="116"/>
      <c r="C41" s="117"/>
      <c r="D41" s="118" t="s">
        <v>26</v>
      </c>
      <c r="E41" s="118"/>
      <c r="F41" s="118"/>
      <c r="G41" s="119"/>
      <c r="H41" s="118" t="s">
        <v>26</v>
      </c>
      <c r="I41" s="118"/>
      <c r="J41" s="118"/>
      <c r="K41" s="119"/>
    </row>
    <row r="42" ht="15.25" spans="1:11">
      <c r="A42" s="120"/>
      <c r="B42" s="121"/>
      <c r="C42" s="122"/>
      <c r="D42" s="123" t="s">
        <v>27</v>
      </c>
      <c r="E42" s="123"/>
      <c r="F42" s="123"/>
      <c r="G42" s="124"/>
      <c r="H42" s="123" t="s">
        <v>28</v>
      </c>
      <c r="I42" s="123"/>
      <c r="J42" s="123"/>
      <c r="K42" s="124"/>
    </row>
    <row r="43" ht="15.25" spans="1:11">
      <c r="A43" s="125"/>
      <c r="B43" s="81" t="s">
        <v>30</v>
      </c>
      <c r="C43" s="82"/>
      <c r="D43" s="83" t="s">
        <v>31</v>
      </c>
      <c r="E43" s="83" t="s">
        <v>32</v>
      </c>
      <c r="F43" s="83" t="s">
        <v>33</v>
      </c>
      <c r="G43" s="84" t="s">
        <v>34</v>
      </c>
      <c r="H43" s="85" t="s">
        <v>31</v>
      </c>
      <c r="I43" s="83" t="s">
        <v>32</v>
      </c>
      <c r="J43" s="83" t="s">
        <v>33</v>
      </c>
      <c r="K43" s="84" t="s">
        <v>34</v>
      </c>
    </row>
    <row r="44" spans="1:11">
      <c r="A44" s="126">
        <v>1</v>
      </c>
      <c r="B44" s="127" t="s">
        <v>58</v>
      </c>
      <c r="C44" s="128"/>
      <c r="D44" s="129">
        <f t="shared" ref="D44:D53" si="16">F44*1.2+200</f>
        <v>2516</v>
      </c>
      <c r="E44" s="130">
        <f t="shared" ref="E44:E53" si="17">G44*1.2+200</f>
        <v>2336</v>
      </c>
      <c r="F44" s="130">
        <f>G44+150</f>
        <v>1930</v>
      </c>
      <c r="G44" s="131">
        <v>1780</v>
      </c>
      <c r="H44" s="129">
        <f t="shared" ref="H44:H53" si="18">D44*0.95</f>
        <v>2390.2</v>
      </c>
      <c r="I44" s="130">
        <f t="shared" ref="I44:I53" si="19">E44*0.95</f>
        <v>2219.2</v>
      </c>
      <c r="J44" s="130">
        <f t="shared" ref="J44:J53" si="20">F44*0.95</f>
        <v>1833.5</v>
      </c>
      <c r="K44" s="131">
        <f t="shared" ref="K44:K53" si="21">G44*0.95</f>
        <v>1691</v>
      </c>
    </row>
    <row r="45" spans="1:11">
      <c r="A45" s="132">
        <v>2</v>
      </c>
      <c r="B45" s="127" t="s">
        <v>59</v>
      </c>
      <c r="C45" s="128"/>
      <c r="D45" s="133">
        <f t="shared" si="16"/>
        <v>2804</v>
      </c>
      <c r="E45" s="134">
        <f t="shared" si="17"/>
        <v>2588</v>
      </c>
      <c r="F45" s="135">
        <f>G45+180</f>
        <v>2170</v>
      </c>
      <c r="G45" s="136">
        <v>1990</v>
      </c>
      <c r="H45" s="133">
        <f t="shared" si="18"/>
        <v>2663.8</v>
      </c>
      <c r="I45" s="135">
        <f t="shared" si="19"/>
        <v>2458.6</v>
      </c>
      <c r="J45" s="134">
        <f t="shared" si="20"/>
        <v>2061.5</v>
      </c>
      <c r="K45" s="136">
        <f t="shared" si="21"/>
        <v>1890.5</v>
      </c>
    </row>
    <row r="46" spans="1:11">
      <c r="A46" s="126">
        <v>3</v>
      </c>
      <c r="B46" s="127" t="s">
        <v>60</v>
      </c>
      <c r="C46" s="128"/>
      <c r="D46" s="133">
        <f t="shared" si="16"/>
        <v>3581.6</v>
      </c>
      <c r="E46" s="134">
        <f t="shared" si="17"/>
        <v>3341.6</v>
      </c>
      <c r="F46" s="135">
        <f>G46+200</f>
        <v>2818</v>
      </c>
      <c r="G46" s="136">
        <v>2618</v>
      </c>
      <c r="H46" s="133">
        <f t="shared" si="18"/>
        <v>3402.52</v>
      </c>
      <c r="I46" s="135">
        <f t="shared" si="19"/>
        <v>3174.52</v>
      </c>
      <c r="J46" s="134">
        <f t="shared" si="20"/>
        <v>2677.1</v>
      </c>
      <c r="K46" s="136">
        <f t="shared" si="21"/>
        <v>2487.1</v>
      </c>
    </row>
    <row r="47" spans="1:11">
      <c r="A47" s="132">
        <v>4</v>
      </c>
      <c r="B47" s="127" t="s">
        <v>61</v>
      </c>
      <c r="C47" s="128"/>
      <c r="D47" s="133">
        <f t="shared" si="16"/>
        <v>4106</v>
      </c>
      <c r="E47" s="134">
        <f t="shared" si="17"/>
        <v>3866</v>
      </c>
      <c r="F47" s="135">
        <f>G47+200</f>
        <v>3255</v>
      </c>
      <c r="G47" s="136">
        <v>3055</v>
      </c>
      <c r="H47" s="133">
        <f t="shared" si="18"/>
        <v>3900.7</v>
      </c>
      <c r="I47" s="135">
        <f t="shared" si="19"/>
        <v>3672.7</v>
      </c>
      <c r="J47" s="134">
        <f t="shared" si="20"/>
        <v>3092.25</v>
      </c>
      <c r="K47" s="136">
        <f t="shared" si="21"/>
        <v>2902.25</v>
      </c>
    </row>
    <row r="48" spans="1:11">
      <c r="A48" s="126">
        <v>5</v>
      </c>
      <c r="B48" s="127" t="s">
        <v>62</v>
      </c>
      <c r="C48" s="128"/>
      <c r="D48" s="133">
        <f t="shared" si="16"/>
        <v>5180</v>
      </c>
      <c r="E48" s="134">
        <f t="shared" si="17"/>
        <v>4880</v>
      </c>
      <c r="F48" s="135">
        <f>G48+250</f>
        <v>4150</v>
      </c>
      <c r="G48" s="136">
        <v>3900</v>
      </c>
      <c r="H48" s="133">
        <f t="shared" si="18"/>
        <v>4921</v>
      </c>
      <c r="I48" s="135">
        <f t="shared" si="19"/>
        <v>4636</v>
      </c>
      <c r="J48" s="134">
        <f t="shared" si="20"/>
        <v>3942.5</v>
      </c>
      <c r="K48" s="136">
        <f t="shared" si="21"/>
        <v>3705</v>
      </c>
    </row>
    <row r="49" spans="1:11">
      <c r="A49" s="132">
        <v>6</v>
      </c>
      <c r="B49" s="127" t="s">
        <v>63</v>
      </c>
      <c r="C49" s="128"/>
      <c r="D49" s="133">
        <f t="shared" si="16"/>
        <v>5180</v>
      </c>
      <c r="E49" s="134">
        <f t="shared" si="17"/>
        <v>4880</v>
      </c>
      <c r="F49" s="135">
        <f>G49+250</f>
        <v>4150</v>
      </c>
      <c r="G49" s="136">
        <v>3900</v>
      </c>
      <c r="H49" s="133">
        <f t="shared" si="18"/>
        <v>4921</v>
      </c>
      <c r="I49" s="135">
        <f t="shared" si="19"/>
        <v>4636</v>
      </c>
      <c r="J49" s="134">
        <f t="shared" si="20"/>
        <v>3942.5</v>
      </c>
      <c r="K49" s="136">
        <f t="shared" si="21"/>
        <v>3705</v>
      </c>
    </row>
    <row r="50" spans="1:11">
      <c r="A50" s="126">
        <v>7</v>
      </c>
      <c r="B50" s="127" t="s">
        <v>64</v>
      </c>
      <c r="C50" s="128"/>
      <c r="D50" s="133">
        <f>F50*1.2+300</f>
        <v>6619.2</v>
      </c>
      <c r="E50" s="134">
        <f>G50*1.2+300</f>
        <v>6259.2</v>
      </c>
      <c r="F50" s="135">
        <f>G50+300</f>
        <v>5266</v>
      </c>
      <c r="G50" s="136">
        <v>4966</v>
      </c>
      <c r="H50" s="133">
        <f t="shared" si="18"/>
        <v>6288.24</v>
      </c>
      <c r="I50" s="135">
        <f t="shared" si="19"/>
        <v>5946.24</v>
      </c>
      <c r="J50" s="134">
        <f t="shared" si="20"/>
        <v>5002.7</v>
      </c>
      <c r="K50" s="136">
        <f t="shared" si="21"/>
        <v>4717.7</v>
      </c>
    </row>
    <row r="51" spans="1:11">
      <c r="A51" s="132">
        <v>8</v>
      </c>
      <c r="B51" s="127" t="s">
        <v>65</v>
      </c>
      <c r="C51" s="128"/>
      <c r="D51" s="133">
        <f t="shared" ref="D51:D53" si="22">F51*1.2+400</f>
        <v>8272</v>
      </c>
      <c r="E51" s="134">
        <f t="shared" ref="E50:E53" si="23">G51*1.2+400</f>
        <v>7792</v>
      </c>
      <c r="F51" s="135">
        <f>G51+400</f>
        <v>6560</v>
      </c>
      <c r="G51" s="136">
        <v>6160</v>
      </c>
      <c r="H51" s="133">
        <f t="shared" si="18"/>
        <v>7858.4</v>
      </c>
      <c r="I51" s="134">
        <f t="shared" si="19"/>
        <v>7402.4</v>
      </c>
      <c r="J51" s="134">
        <f t="shared" si="20"/>
        <v>6232</v>
      </c>
      <c r="K51" s="136">
        <f t="shared" si="21"/>
        <v>5852</v>
      </c>
    </row>
    <row r="52" spans="1:11">
      <c r="A52" s="126">
        <v>9</v>
      </c>
      <c r="B52" s="127" t="s">
        <v>66</v>
      </c>
      <c r="C52" s="128"/>
      <c r="D52" s="133">
        <f t="shared" si="22"/>
        <v>9778</v>
      </c>
      <c r="E52" s="134">
        <f t="shared" si="23"/>
        <v>9058</v>
      </c>
      <c r="F52" s="135">
        <f>G52+600</f>
        <v>7815</v>
      </c>
      <c r="G52" s="136">
        <v>7215</v>
      </c>
      <c r="H52" s="133">
        <f t="shared" si="18"/>
        <v>9289.1</v>
      </c>
      <c r="I52" s="135">
        <f t="shared" si="19"/>
        <v>8605.1</v>
      </c>
      <c r="J52" s="134">
        <f t="shared" si="20"/>
        <v>7424.25</v>
      </c>
      <c r="K52" s="136">
        <f t="shared" si="21"/>
        <v>6854.25</v>
      </c>
    </row>
    <row r="53" ht="15.25" spans="1:11">
      <c r="A53" s="132">
        <v>10</v>
      </c>
      <c r="B53" s="127" t="s">
        <v>67</v>
      </c>
      <c r="C53" s="128"/>
      <c r="D53" s="137">
        <f t="shared" si="22"/>
        <v>11860</v>
      </c>
      <c r="E53" s="138">
        <f t="shared" si="23"/>
        <v>11020</v>
      </c>
      <c r="F53" s="138">
        <f>G53+700</f>
        <v>9550</v>
      </c>
      <c r="G53" s="139">
        <v>8850</v>
      </c>
      <c r="H53" s="137">
        <f t="shared" si="18"/>
        <v>11267</v>
      </c>
      <c r="I53" s="138">
        <f t="shared" si="19"/>
        <v>10469</v>
      </c>
      <c r="J53" s="138">
        <f t="shared" si="20"/>
        <v>9072.5</v>
      </c>
      <c r="K53" s="139">
        <f t="shared" si="21"/>
        <v>8407.5</v>
      </c>
    </row>
    <row r="54" spans="1:11">
      <c r="A54" s="140"/>
      <c r="B54" s="141"/>
      <c r="C54" s="141"/>
      <c r="D54" s="142" t="s">
        <v>68</v>
      </c>
      <c r="E54" s="143"/>
      <c r="F54" s="143"/>
      <c r="G54" s="144"/>
      <c r="H54" s="142" t="s">
        <v>68</v>
      </c>
      <c r="I54" s="143"/>
      <c r="J54" s="143"/>
      <c r="K54" s="144"/>
    </row>
    <row r="55" ht="15.25" spans="1:11">
      <c r="A55" s="140"/>
      <c r="B55" s="141"/>
      <c r="C55" s="141"/>
      <c r="D55" s="145" t="s">
        <v>44</v>
      </c>
      <c r="E55" s="146"/>
      <c r="F55" s="146"/>
      <c r="G55" s="147"/>
      <c r="H55" s="145" t="s">
        <v>45</v>
      </c>
      <c r="I55" s="146"/>
      <c r="J55" s="146"/>
      <c r="K55" s="147"/>
    </row>
    <row r="56" ht="15.25" spans="1:11">
      <c r="A56" s="141"/>
      <c r="B56" s="81" t="s">
        <v>30</v>
      </c>
      <c r="C56" s="82"/>
      <c r="D56" s="83" t="s">
        <v>31</v>
      </c>
      <c r="E56" s="83" t="s">
        <v>32</v>
      </c>
      <c r="F56" s="83" t="s">
        <v>33</v>
      </c>
      <c r="G56" s="84" t="s">
        <v>34</v>
      </c>
      <c r="H56" s="85" t="s">
        <v>31</v>
      </c>
      <c r="I56" s="83" t="s">
        <v>32</v>
      </c>
      <c r="J56" s="83" t="s">
        <v>33</v>
      </c>
      <c r="K56" s="84" t="s">
        <v>34</v>
      </c>
    </row>
    <row r="57" spans="1:11">
      <c r="A57" s="148">
        <v>1</v>
      </c>
      <c r="B57" s="149" t="s">
        <v>69</v>
      </c>
      <c r="C57" s="150"/>
      <c r="D57" s="142">
        <f t="shared" ref="D57:D60" si="24">F57*1.2+800</f>
        <v>9080</v>
      </c>
      <c r="E57" s="143">
        <f t="shared" ref="E57:E60" si="25">G57*1.2+800</f>
        <v>9800</v>
      </c>
      <c r="F57" s="143">
        <v>6900</v>
      </c>
      <c r="G57" s="144">
        <v>7500</v>
      </c>
      <c r="H57" s="142">
        <f t="shared" ref="H57:K57" si="26">D57*0.92</f>
        <v>8353.6</v>
      </c>
      <c r="I57" s="143">
        <f t="shared" si="26"/>
        <v>9016</v>
      </c>
      <c r="J57" s="143">
        <f t="shared" si="26"/>
        <v>6348</v>
      </c>
      <c r="K57" s="144">
        <f t="shared" si="26"/>
        <v>6900</v>
      </c>
    </row>
    <row r="58" spans="1:11">
      <c r="A58" s="148">
        <v>2</v>
      </c>
      <c r="B58" s="149" t="s">
        <v>70</v>
      </c>
      <c r="C58" s="150"/>
      <c r="D58" s="151">
        <f t="shared" si="24"/>
        <v>10520</v>
      </c>
      <c r="E58" s="152">
        <f t="shared" si="25"/>
        <v>11420</v>
      </c>
      <c r="F58" s="152">
        <v>8100</v>
      </c>
      <c r="G58" s="153">
        <v>8850</v>
      </c>
      <c r="H58" s="151">
        <f t="shared" ref="H58:K58" si="27">D58*0.92</f>
        <v>9678.4</v>
      </c>
      <c r="I58" s="152">
        <f t="shared" si="27"/>
        <v>10506.4</v>
      </c>
      <c r="J58" s="152">
        <f t="shared" si="27"/>
        <v>7452</v>
      </c>
      <c r="K58" s="153">
        <f t="shared" si="27"/>
        <v>8142</v>
      </c>
    </row>
    <row r="59" spans="1:11">
      <c r="A59" s="148">
        <v>3</v>
      </c>
      <c r="B59" s="149" t="s">
        <v>71</v>
      </c>
      <c r="C59" s="150"/>
      <c r="D59" s="151">
        <f t="shared" si="24"/>
        <v>11960</v>
      </c>
      <c r="E59" s="152">
        <f t="shared" si="25"/>
        <v>12980</v>
      </c>
      <c r="F59" s="152">
        <v>9300</v>
      </c>
      <c r="G59" s="153">
        <v>10150</v>
      </c>
      <c r="H59" s="151">
        <f t="shared" ref="H59:K59" si="28">D59*0.92</f>
        <v>11003.2</v>
      </c>
      <c r="I59" s="152">
        <f t="shared" si="28"/>
        <v>11941.6</v>
      </c>
      <c r="J59" s="152">
        <f t="shared" si="28"/>
        <v>8556</v>
      </c>
      <c r="K59" s="153">
        <f t="shared" si="28"/>
        <v>9338</v>
      </c>
    </row>
    <row r="60" spans="1:11">
      <c r="A60" s="148">
        <v>4</v>
      </c>
      <c r="B60" s="149" t="s">
        <v>72</v>
      </c>
      <c r="C60" s="150"/>
      <c r="D60" s="151">
        <f t="shared" si="24"/>
        <v>13220</v>
      </c>
      <c r="E60" s="152">
        <f t="shared" si="25"/>
        <v>14450</v>
      </c>
      <c r="F60" s="152">
        <v>10350</v>
      </c>
      <c r="G60" s="153">
        <v>11375</v>
      </c>
      <c r="H60" s="151">
        <f t="shared" ref="H60:K60" si="29">D60*0.92</f>
        <v>12162.4</v>
      </c>
      <c r="I60" s="152">
        <f t="shared" si="29"/>
        <v>13294</v>
      </c>
      <c r="J60" s="152">
        <f t="shared" si="29"/>
        <v>9522</v>
      </c>
      <c r="K60" s="153">
        <f t="shared" si="29"/>
        <v>10465</v>
      </c>
    </row>
    <row r="61" spans="1:11">
      <c r="A61" s="148">
        <v>5</v>
      </c>
      <c r="B61" s="149" t="s">
        <v>73</v>
      </c>
      <c r="C61" s="150"/>
      <c r="D61" s="151">
        <f t="shared" ref="D61:D64" si="30">F61*1.2+900</f>
        <v>17220</v>
      </c>
      <c r="E61" s="152">
        <f t="shared" ref="E61:E64" si="31">G61*1.2+900</f>
        <v>17760</v>
      </c>
      <c r="F61" s="152">
        <v>13600</v>
      </c>
      <c r="G61" s="153">
        <v>14050</v>
      </c>
      <c r="H61" s="151">
        <f t="shared" ref="H61:K61" si="32">D61*0.92</f>
        <v>15842.4</v>
      </c>
      <c r="I61" s="152">
        <f t="shared" si="32"/>
        <v>16339.2</v>
      </c>
      <c r="J61" s="152">
        <f t="shared" si="32"/>
        <v>12512</v>
      </c>
      <c r="K61" s="153">
        <f t="shared" si="32"/>
        <v>12926</v>
      </c>
    </row>
    <row r="62" spans="1:11">
      <c r="A62" s="148">
        <v>6</v>
      </c>
      <c r="B62" s="149" t="s">
        <v>74</v>
      </c>
      <c r="C62" s="150"/>
      <c r="D62" s="151">
        <f t="shared" si="30"/>
        <v>19620</v>
      </c>
      <c r="E62" s="152">
        <f t="shared" si="31"/>
        <v>20700</v>
      </c>
      <c r="F62" s="152">
        <v>15600</v>
      </c>
      <c r="G62" s="153">
        <v>16500</v>
      </c>
      <c r="H62" s="151">
        <f t="shared" ref="H62:K62" si="33">D62*0.92</f>
        <v>18050.4</v>
      </c>
      <c r="I62" s="152">
        <f t="shared" si="33"/>
        <v>19044</v>
      </c>
      <c r="J62" s="152">
        <f t="shared" si="33"/>
        <v>14352</v>
      </c>
      <c r="K62" s="153">
        <f t="shared" si="33"/>
        <v>15180</v>
      </c>
    </row>
    <row r="63" spans="1:11">
      <c r="A63" s="148">
        <v>7</v>
      </c>
      <c r="B63" s="149" t="s">
        <v>75</v>
      </c>
      <c r="C63" s="150"/>
      <c r="D63" s="151">
        <f t="shared" si="30"/>
        <v>21300</v>
      </c>
      <c r="E63" s="152">
        <f t="shared" si="31"/>
        <v>22116</v>
      </c>
      <c r="F63" s="152">
        <v>17000</v>
      </c>
      <c r="G63" s="153">
        <v>17680</v>
      </c>
      <c r="H63" s="151">
        <f t="shared" ref="H63:K63" si="34">D63*0.92</f>
        <v>19596</v>
      </c>
      <c r="I63" s="152">
        <f t="shared" si="34"/>
        <v>20346.72</v>
      </c>
      <c r="J63" s="152">
        <f t="shared" si="34"/>
        <v>15640</v>
      </c>
      <c r="K63" s="153">
        <f t="shared" si="34"/>
        <v>16265.6</v>
      </c>
    </row>
    <row r="64" spans="1:11">
      <c r="A64" s="148">
        <v>8</v>
      </c>
      <c r="B64" s="149" t="s">
        <v>76</v>
      </c>
      <c r="C64" s="150"/>
      <c r="D64" s="151">
        <f t="shared" si="30"/>
        <v>29340</v>
      </c>
      <c r="E64" s="152">
        <f t="shared" si="31"/>
        <v>31620</v>
      </c>
      <c r="F64" s="152">
        <v>23700</v>
      </c>
      <c r="G64" s="153">
        <v>25600</v>
      </c>
      <c r="H64" s="151">
        <f t="shared" ref="H64:K64" si="35">D64*0.92</f>
        <v>26992.8</v>
      </c>
      <c r="I64" s="152">
        <f t="shared" si="35"/>
        <v>29090.4</v>
      </c>
      <c r="J64" s="152">
        <f t="shared" si="35"/>
        <v>21804</v>
      </c>
      <c r="K64" s="153">
        <f t="shared" si="35"/>
        <v>23552</v>
      </c>
    </row>
    <row r="65" spans="1:11">
      <c r="A65" s="148">
        <v>9</v>
      </c>
      <c r="B65" s="149" t="s">
        <v>77</v>
      </c>
      <c r="C65" s="150"/>
      <c r="D65" s="151">
        <f t="shared" ref="D65:D67" si="36">F65*1.2+1500</f>
        <v>32820</v>
      </c>
      <c r="E65" s="152">
        <f t="shared" ref="E65:E67" si="37">G65*1.2+1500</f>
        <v>35100</v>
      </c>
      <c r="F65" s="152">
        <v>26100</v>
      </c>
      <c r="G65" s="153">
        <v>28000</v>
      </c>
      <c r="H65" s="151">
        <f t="shared" ref="H65:K65" si="38">D65*0.92</f>
        <v>30194.4</v>
      </c>
      <c r="I65" s="152">
        <f t="shared" si="38"/>
        <v>32292</v>
      </c>
      <c r="J65" s="152">
        <f t="shared" si="38"/>
        <v>24012</v>
      </c>
      <c r="K65" s="153">
        <f t="shared" si="38"/>
        <v>25760</v>
      </c>
    </row>
    <row r="66" spans="1:11">
      <c r="A66" s="148">
        <v>10</v>
      </c>
      <c r="B66" s="149" t="s">
        <v>78</v>
      </c>
      <c r="C66" s="150"/>
      <c r="D66" s="151">
        <f t="shared" si="36"/>
        <v>40680</v>
      </c>
      <c r="E66" s="152">
        <f t="shared" si="37"/>
        <v>44460</v>
      </c>
      <c r="F66" s="152">
        <v>32650</v>
      </c>
      <c r="G66" s="153">
        <v>35800</v>
      </c>
      <c r="H66" s="151">
        <f t="shared" ref="H66:K66" si="39">D66*0.92</f>
        <v>37425.6</v>
      </c>
      <c r="I66" s="152">
        <f t="shared" si="39"/>
        <v>40903.2</v>
      </c>
      <c r="J66" s="152">
        <f t="shared" si="39"/>
        <v>30038</v>
      </c>
      <c r="K66" s="153">
        <f t="shared" si="39"/>
        <v>32936</v>
      </c>
    </row>
    <row r="67" spans="1:11">
      <c r="A67" s="148">
        <v>11</v>
      </c>
      <c r="B67" s="149" t="s">
        <v>79</v>
      </c>
      <c r="C67" s="150"/>
      <c r="D67" s="151">
        <f t="shared" si="36"/>
        <v>47100</v>
      </c>
      <c r="E67" s="152">
        <f t="shared" si="37"/>
        <v>51900</v>
      </c>
      <c r="F67" s="152">
        <v>38000</v>
      </c>
      <c r="G67" s="153">
        <v>42000</v>
      </c>
      <c r="H67" s="151">
        <f t="shared" ref="H67:K67" si="40">D67*0.92</f>
        <v>43332</v>
      </c>
      <c r="I67" s="152">
        <f t="shared" si="40"/>
        <v>47748</v>
      </c>
      <c r="J67" s="152">
        <f t="shared" si="40"/>
        <v>34960</v>
      </c>
      <c r="K67" s="153">
        <f t="shared" si="40"/>
        <v>38640</v>
      </c>
    </row>
    <row r="68" spans="1:11">
      <c r="A68" s="148">
        <v>12</v>
      </c>
      <c r="B68" s="149" t="s">
        <v>80</v>
      </c>
      <c r="C68" s="150"/>
      <c r="D68" s="151">
        <f>F68*1.2+2000</f>
        <v>56480</v>
      </c>
      <c r="E68" s="152">
        <f>G68*1.2+2000</f>
        <v>63080</v>
      </c>
      <c r="F68" s="152">
        <v>45400</v>
      </c>
      <c r="G68" s="153">
        <v>50900</v>
      </c>
      <c r="H68" s="151">
        <f t="shared" ref="H68:K68" si="41">D68*0.92</f>
        <v>51961.6</v>
      </c>
      <c r="I68" s="152">
        <f t="shared" si="41"/>
        <v>58033.6</v>
      </c>
      <c r="J68" s="152">
        <f t="shared" si="41"/>
        <v>41768</v>
      </c>
      <c r="K68" s="153">
        <f t="shared" si="41"/>
        <v>46828</v>
      </c>
    </row>
    <row r="69" spans="1:11">
      <c r="A69" s="148">
        <v>13</v>
      </c>
      <c r="B69" s="149" t="s">
        <v>81</v>
      </c>
      <c r="C69" s="150"/>
      <c r="D69" s="151">
        <f>F69*1.2+4000</f>
        <v>72400</v>
      </c>
      <c r="E69" s="152">
        <f>G69*1.2+4000</f>
        <v>80680</v>
      </c>
      <c r="F69" s="152">
        <v>57000</v>
      </c>
      <c r="G69" s="153">
        <v>63900</v>
      </c>
      <c r="H69" s="151">
        <f t="shared" ref="H69:K69" si="42">D69*0.92</f>
        <v>66608</v>
      </c>
      <c r="I69" s="152">
        <f t="shared" si="42"/>
        <v>74225.6</v>
      </c>
      <c r="J69" s="152">
        <f t="shared" si="42"/>
        <v>52440</v>
      </c>
      <c r="K69" s="153">
        <f t="shared" si="42"/>
        <v>58788</v>
      </c>
    </row>
    <row r="70" spans="1:11">
      <c r="A70" s="148">
        <v>14</v>
      </c>
      <c r="B70" s="149" t="s">
        <v>82</v>
      </c>
      <c r="C70" s="150"/>
      <c r="D70" s="151">
        <f>F70*1.2+4000</f>
        <v>75400</v>
      </c>
      <c r="E70" s="152">
        <f>G70*1.2+4000</f>
        <v>84340</v>
      </c>
      <c r="F70" s="152">
        <v>59500</v>
      </c>
      <c r="G70" s="153">
        <v>66950</v>
      </c>
      <c r="H70" s="151">
        <f t="shared" ref="H70:K70" si="43">D70*0.92</f>
        <v>69368</v>
      </c>
      <c r="I70" s="152">
        <f t="shared" si="43"/>
        <v>77592.8</v>
      </c>
      <c r="J70" s="152">
        <f t="shared" si="43"/>
        <v>54740</v>
      </c>
      <c r="K70" s="153">
        <f t="shared" si="43"/>
        <v>61594</v>
      </c>
    </row>
    <row r="71" spans="1:11">
      <c r="A71" s="148">
        <v>15</v>
      </c>
      <c r="B71" s="149" t="s">
        <v>83</v>
      </c>
      <c r="C71" s="150"/>
      <c r="D71" s="151">
        <f>F71*1.2+6000</f>
        <v>96000</v>
      </c>
      <c r="E71" s="152">
        <f>G71*1.2+6000</f>
        <v>106308</v>
      </c>
      <c r="F71" s="152">
        <v>75000</v>
      </c>
      <c r="G71" s="153">
        <v>83590</v>
      </c>
      <c r="H71" s="151">
        <f t="shared" ref="H71:K71" si="44">D71*0.92</f>
        <v>88320</v>
      </c>
      <c r="I71" s="152">
        <f t="shared" si="44"/>
        <v>97803.36</v>
      </c>
      <c r="J71" s="152">
        <f t="shared" si="44"/>
        <v>69000</v>
      </c>
      <c r="K71" s="153">
        <f t="shared" si="44"/>
        <v>76902.8</v>
      </c>
    </row>
    <row r="72" ht="15.25" spans="1:11">
      <c r="A72" s="148">
        <v>16</v>
      </c>
      <c r="B72" s="149" t="s">
        <v>84</v>
      </c>
      <c r="C72" s="150"/>
      <c r="D72" s="145">
        <f>F72*1.2+6000</f>
        <v>116400</v>
      </c>
      <c r="E72" s="146">
        <f>G72*1.2+6000</f>
        <v>130500</v>
      </c>
      <c r="F72" s="146">
        <v>92000</v>
      </c>
      <c r="G72" s="147">
        <v>103750</v>
      </c>
      <c r="H72" s="145">
        <f t="shared" ref="H72:K72" si="45">D72*0.92</f>
        <v>107088</v>
      </c>
      <c r="I72" s="146">
        <f t="shared" si="45"/>
        <v>120060</v>
      </c>
      <c r="J72" s="146">
        <f t="shared" si="45"/>
        <v>84640</v>
      </c>
      <c r="K72" s="147">
        <f t="shared" si="45"/>
        <v>95450</v>
      </c>
    </row>
    <row r="73" spans="1:11">
      <c r="A73" s="154" t="s">
        <v>85</v>
      </c>
    </row>
    <row r="76" spans="1:11">
      <c r="A76" s="154" t="s">
        <v>86</v>
      </c>
      <c r="J76" s="155"/>
    </row>
    <row r="77" spans="1:11">
      <c r="A77" s="1" t="s">
        <v>87</v>
      </c>
      <c r="I77" s="156"/>
      <c r="J77" s="156"/>
    </row>
    <row r="78" spans="1:11">
      <c r="A78" s="1" t="s">
        <v>88</v>
      </c>
      <c r="I78" s="156"/>
      <c r="J78" s="156"/>
    </row>
    <row r="79" spans="1:11">
      <c r="I79" s="156"/>
      <c r="J79" s="156"/>
    </row>
    <row r="80" spans="1:11">
      <c r="A80" s="1" t="s">
        <v>89</v>
      </c>
      <c r="I80" s="156"/>
      <c r="J80" s="156"/>
    </row>
    <row r="81" spans="1:10">
      <c r="A81" s="1" t="s">
        <v>90</v>
      </c>
      <c r="I81" s="156"/>
      <c r="J81" s="156"/>
    </row>
    <row r="82" spans="1:10">
      <c r="I82" s="156"/>
      <c r="J82" s="156"/>
    </row>
    <row r="83" spans="1:10">
      <c r="I83" s="156"/>
      <c r="J83" s="156"/>
    </row>
    <row r="84" spans="1:10">
      <c r="I84" s="156"/>
      <c r="J84" s="156"/>
    </row>
    <row r="85" spans="1:10">
      <c r="I85" s="156"/>
      <c r="J85" s="156"/>
    </row>
    <row r="86" spans="1:10">
      <c r="I86" s="156"/>
      <c r="J86" s="156"/>
    </row>
    <row r="87" spans="1:10">
      <c r="I87" s="156"/>
      <c r="J87" s="156"/>
    </row>
    <row r="88" spans="1:10">
      <c r="I88" s="156"/>
      <c r="J88" s="156"/>
    </row>
    <row r="89" spans="1:10">
      <c r="I89" s="156"/>
      <c r="J89" s="156"/>
    </row>
    <row r="90" spans="1:10">
      <c r="I90" s="156"/>
      <c r="J90" s="156"/>
    </row>
    <row r="91" spans="1:10">
      <c r="I91" s="156"/>
      <c r="J91" s="156"/>
    </row>
    <row r="92" spans="1:10">
      <c r="I92" s="156"/>
      <c r="J92" s="156"/>
    </row>
  </sheetData>
  <mergeCells count="113">
    <mergeCell ref="A1:AH1"/>
    <mergeCell ref="B2:G2"/>
    <mergeCell ref="H2:Z2"/>
    <mergeCell ref="AA2:AH2"/>
    <mergeCell ref="B7:C7"/>
    <mergeCell ref="D7:G7"/>
    <mergeCell ref="H7:I7"/>
    <mergeCell ref="J7:Q7"/>
    <mergeCell ref="R7:S7"/>
    <mergeCell ref="T7:Z7"/>
    <mergeCell ref="AA7:AC7"/>
    <mergeCell ref="AD7:AH7"/>
    <mergeCell ref="B9:G9"/>
    <mergeCell ref="H9:Z9"/>
    <mergeCell ref="AA9:AH9"/>
    <mergeCell ref="I10:J10"/>
    <mergeCell ref="L10:M10"/>
    <mergeCell ref="N10:O10"/>
    <mergeCell ref="P10:Q10"/>
    <mergeCell ref="R10:S10"/>
    <mergeCell ref="T10:U10"/>
    <mergeCell ref="V10:W10"/>
    <mergeCell ref="I11:J11"/>
    <mergeCell ref="L11:M11"/>
    <mergeCell ref="N11:O11"/>
    <mergeCell ref="P11:Q11"/>
    <mergeCell ref="R11:S11"/>
    <mergeCell ref="T11:U11"/>
    <mergeCell ref="V11:W11"/>
    <mergeCell ref="I12:J12"/>
    <mergeCell ref="L12:M12"/>
    <mergeCell ref="N12:O12"/>
    <mergeCell ref="P12:Q12"/>
    <mergeCell ref="R12:S12"/>
    <mergeCell ref="T12:U12"/>
    <mergeCell ref="V12:W12"/>
    <mergeCell ref="I13:J13"/>
    <mergeCell ref="L13:M13"/>
    <mergeCell ref="N13:O13"/>
    <mergeCell ref="P13:Q13"/>
    <mergeCell ref="R13:S13"/>
    <mergeCell ref="T13:U13"/>
    <mergeCell ref="V13:W13"/>
    <mergeCell ref="D14:G14"/>
    <mergeCell ref="H14:K14"/>
    <mergeCell ref="D15:G15"/>
    <mergeCell ref="H15:K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D26:G26"/>
    <mergeCell ref="H26:K26"/>
    <mergeCell ref="D27:G27"/>
    <mergeCell ref="H27:K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D41:G41"/>
    <mergeCell ref="H41:K41"/>
    <mergeCell ref="D42:G42"/>
    <mergeCell ref="H42:K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D54:G54"/>
    <mergeCell ref="H54:K54"/>
    <mergeCell ref="D55:G55"/>
    <mergeCell ref="H55:K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A26:C27"/>
    <mergeCell ref="A41:C42"/>
    <mergeCell ref="A54:C55"/>
  </mergeCells>
  <pageMargins left="0.75" right="0.75" top="1" bottom="1" header="0.5" footer="0.5"/>
  <pageSetup paperSize="9" orientation="portrait"/>
  <headerFooter/>
  <ignoredErrors>
    <ignoredError sqref="C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有的放矢</cp:lastModifiedBy>
  <dcterms:created xsi:type="dcterms:W3CDTF">2014-01-14T12:06:00Z</dcterms:created>
  <dcterms:modified xsi:type="dcterms:W3CDTF">2026-05-13T05:47:11Z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1C888433E0E249FF8894C785AAD2D088_13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